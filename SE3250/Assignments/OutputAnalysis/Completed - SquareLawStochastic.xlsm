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00000000-0000-0000-0000-000000000000}"/>
  <workbookPr codeName="ThisWorkbook" defaultThemeVersion="124226"/>
  <bookViews>
    <workbookView xWindow="-60" yWindow="-15" windowWidth="21300" windowHeight="10245"/>
  </bookViews>
  <sheets>
    <sheet name="Stochastic" sheetId="5" r:id="rId1"/>
    <sheet name="Deterministic (Exact)" sheetId="7" r:id="rId2"/>
    <sheet name="Deterministic (Time Step)" sheetId="1" r:id="rId3"/>
    <sheet name="Data Collection" sheetId="6" r:id="rId4"/>
  </sheets>
  <calcPr calcId="145621"/>
</workbook>
</file>

<file path=xl/calcChain.xml><?xml version="1.0" encoding="utf-8"?>
<calcChain xmlns="http://schemas.openxmlformats.org/spreadsheetml/2006/main">
  <c r="D4" i="5" l="1"/>
  <c r="A5" i="5" l="1"/>
  <c r="K26" i="5"/>
  <c r="J26" i="5"/>
  <c r="B2" i="7"/>
  <c r="B4" i="7"/>
  <c r="C4" i="7"/>
  <c r="C2" i="7"/>
  <c r="C4" i="1"/>
  <c r="B4" i="1"/>
  <c r="C2" i="1"/>
  <c r="B2" i="1"/>
  <c r="K28" i="5"/>
  <c r="J28" i="5"/>
  <c r="E4" i="5"/>
  <c r="F4" i="5" s="1"/>
  <c r="C5" i="5" s="1"/>
  <c r="M28" i="5"/>
  <c r="L28" i="5"/>
  <c r="I28" i="5"/>
  <c r="D5" i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A5" i="1"/>
  <c r="F4" i="1" l="1"/>
  <c r="C5" i="1" s="1"/>
  <c r="D4" i="7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E4" i="7"/>
  <c r="A5" i="7" s="1"/>
  <c r="E4" i="1"/>
  <c r="B5" i="1" s="1"/>
  <c r="F5" i="1" s="1"/>
  <c r="B5" i="5"/>
  <c r="C6" i="1" l="1"/>
  <c r="E6" i="1" s="1"/>
  <c r="E5" i="1"/>
  <c r="B6" i="1" s="1"/>
  <c r="F6" i="1" s="1"/>
  <c r="A34" i="7"/>
  <c r="C34" i="7" s="1"/>
  <c r="M26" i="5" s="1"/>
  <c r="I26" i="5"/>
  <c r="A6" i="7"/>
  <c r="B5" i="7"/>
  <c r="C5" i="7"/>
  <c r="D5" i="5"/>
  <c r="A6" i="5" s="1"/>
  <c r="E5" i="5"/>
  <c r="F5" i="5" s="1"/>
  <c r="C6" i="5" s="1"/>
  <c r="B7" i="1" l="1"/>
  <c r="F7" i="1" s="1"/>
  <c r="C7" i="1"/>
  <c r="E7" i="1" s="1"/>
  <c r="B34" i="7"/>
  <c r="L26" i="5" s="1"/>
  <c r="B6" i="5"/>
  <c r="E6" i="5" s="1"/>
  <c r="F6" i="5" s="1"/>
  <c r="C7" i="5" s="1"/>
  <c r="C6" i="7"/>
  <c r="A7" i="7"/>
  <c r="B6" i="7"/>
  <c r="B8" i="1" l="1"/>
  <c r="F8" i="1" s="1"/>
  <c r="C8" i="1"/>
  <c r="E8" i="1" s="1"/>
  <c r="D6" i="5"/>
  <c r="A7" i="5" s="1"/>
  <c r="B7" i="5"/>
  <c r="E7" i="5" s="1"/>
  <c r="F7" i="5" s="1"/>
  <c r="C8" i="5" s="1"/>
  <c r="A8" i="7"/>
  <c r="C7" i="7"/>
  <c r="B7" i="7"/>
  <c r="B9" i="1" l="1"/>
  <c r="F9" i="1" s="1"/>
  <c r="C9" i="1"/>
  <c r="E9" i="1" s="1"/>
  <c r="D7" i="5"/>
  <c r="A8" i="5" s="1"/>
  <c r="B8" i="5"/>
  <c r="D8" i="5" s="1"/>
  <c r="C8" i="7"/>
  <c r="A9" i="7"/>
  <c r="B8" i="7"/>
  <c r="B10" i="1" l="1"/>
  <c r="F10" i="1" s="1"/>
  <c r="C10" i="1"/>
  <c r="E10" i="1" s="1"/>
  <c r="A9" i="5"/>
  <c r="E8" i="5"/>
  <c r="F8" i="5" s="1"/>
  <c r="C9" i="5" s="1"/>
  <c r="A10" i="7"/>
  <c r="C9" i="7"/>
  <c r="B9" i="7"/>
  <c r="B11" i="1" l="1"/>
  <c r="F11" i="1" s="1"/>
  <c r="C11" i="1"/>
  <c r="E11" i="1" s="1"/>
  <c r="B9" i="5"/>
  <c r="E9" i="5" s="1"/>
  <c r="F9" i="5" s="1"/>
  <c r="C10" i="5" s="1"/>
  <c r="C10" i="7"/>
  <c r="A11" i="7"/>
  <c r="B10" i="7"/>
  <c r="B12" i="1" l="1"/>
  <c r="F12" i="1" s="1"/>
  <c r="C12" i="1"/>
  <c r="E12" i="1" s="1"/>
  <c r="D9" i="5"/>
  <c r="A10" i="5" s="1"/>
  <c r="B10" i="5"/>
  <c r="E10" i="5" s="1"/>
  <c r="F10" i="5" s="1"/>
  <c r="C11" i="5" s="1"/>
  <c r="A12" i="7"/>
  <c r="C11" i="7"/>
  <c r="B11" i="7"/>
  <c r="B13" i="1" l="1"/>
  <c r="F13" i="1" s="1"/>
  <c r="C13" i="1"/>
  <c r="E13" i="1" s="1"/>
  <c r="B11" i="5"/>
  <c r="D11" i="5" s="1"/>
  <c r="D10" i="5"/>
  <c r="A11" i="5" s="1"/>
  <c r="C12" i="7"/>
  <c r="A13" i="7"/>
  <c r="B12" i="7"/>
  <c r="C14" i="1" l="1"/>
  <c r="E14" i="1" s="1"/>
  <c r="B14" i="1"/>
  <c r="F14" i="1" s="1"/>
  <c r="A12" i="5"/>
  <c r="E11" i="5"/>
  <c r="F11" i="5" s="1"/>
  <c r="C12" i="5" s="1"/>
  <c r="A14" i="7"/>
  <c r="C13" i="7"/>
  <c r="B13" i="7"/>
  <c r="B15" i="1" l="1"/>
  <c r="F15" i="1" s="1"/>
  <c r="C15" i="1"/>
  <c r="E15" i="1" s="1"/>
  <c r="B12" i="5"/>
  <c r="E12" i="5" s="1"/>
  <c r="F12" i="5" s="1"/>
  <c r="C13" i="5" s="1"/>
  <c r="C14" i="7"/>
  <c r="A15" i="7"/>
  <c r="B14" i="7"/>
  <c r="B16" i="1" l="1"/>
  <c r="F16" i="1" s="1"/>
  <c r="C16" i="1"/>
  <c r="E16" i="1" s="1"/>
  <c r="D12" i="5"/>
  <c r="A13" i="5" s="1"/>
  <c r="B13" i="5"/>
  <c r="D13" i="5" s="1"/>
  <c r="A16" i="7"/>
  <c r="C15" i="7"/>
  <c r="B15" i="7"/>
  <c r="C17" i="1" l="1"/>
  <c r="E17" i="1" s="1"/>
  <c r="B17" i="1"/>
  <c r="F17" i="1" s="1"/>
  <c r="E13" i="5"/>
  <c r="F13" i="5" s="1"/>
  <c r="C14" i="5" s="1"/>
  <c r="A14" i="5"/>
  <c r="C16" i="7"/>
  <c r="A17" i="7"/>
  <c r="B16" i="7"/>
  <c r="B18" i="1" l="1"/>
  <c r="F18" i="1" s="1"/>
  <c r="C18" i="1"/>
  <c r="E18" i="1" s="1"/>
  <c r="B14" i="5"/>
  <c r="D14" i="5" s="1"/>
  <c r="A18" i="7"/>
  <c r="C17" i="7"/>
  <c r="B17" i="7"/>
  <c r="B19" i="1" l="1"/>
  <c r="F19" i="1" s="1"/>
  <c r="C19" i="1"/>
  <c r="E19" i="1" s="1"/>
  <c r="E14" i="5"/>
  <c r="F14" i="5" s="1"/>
  <c r="C15" i="5" s="1"/>
  <c r="A15" i="5"/>
  <c r="C18" i="7"/>
  <c r="A19" i="7"/>
  <c r="B18" i="7"/>
  <c r="B20" i="1" l="1"/>
  <c r="F20" i="1" s="1"/>
  <c r="C20" i="1"/>
  <c r="E20" i="1" s="1"/>
  <c r="B15" i="5"/>
  <c r="E15" i="5" s="1"/>
  <c r="F15" i="5" s="1"/>
  <c r="C16" i="5" s="1"/>
  <c r="A20" i="7"/>
  <c r="C19" i="7"/>
  <c r="B19" i="7"/>
  <c r="B21" i="1" l="1"/>
  <c r="F21" i="1" s="1"/>
  <c r="C21" i="1"/>
  <c r="E21" i="1" s="1"/>
  <c r="D15" i="5"/>
  <c r="A16" i="5" s="1"/>
  <c r="B16" i="5"/>
  <c r="E16" i="5" s="1"/>
  <c r="F16" i="5" s="1"/>
  <c r="C17" i="5" s="1"/>
  <c r="C20" i="7"/>
  <c r="A21" i="7"/>
  <c r="B20" i="7"/>
  <c r="B22" i="1" l="1"/>
  <c r="F22" i="1" s="1"/>
  <c r="C22" i="1"/>
  <c r="E22" i="1" s="1"/>
  <c r="D16" i="5"/>
  <c r="A17" i="5" s="1"/>
  <c r="B17" i="5"/>
  <c r="D17" i="5" s="1"/>
  <c r="A22" i="7"/>
  <c r="C21" i="7"/>
  <c r="B21" i="7"/>
  <c r="B23" i="1" l="1"/>
  <c r="F23" i="1" s="1"/>
  <c r="C23" i="1"/>
  <c r="E23" i="1" s="1"/>
  <c r="E17" i="5"/>
  <c r="F17" i="5" s="1"/>
  <c r="C18" i="5" s="1"/>
  <c r="A18" i="5"/>
  <c r="C22" i="7"/>
  <c r="A23" i="7"/>
  <c r="B22" i="7"/>
  <c r="C24" i="1" l="1"/>
  <c r="E24" i="1" s="1"/>
  <c r="B24" i="1"/>
  <c r="F24" i="1" s="1"/>
  <c r="B18" i="5"/>
  <c r="E18" i="5" s="1"/>
  <c r="F18" i="5" s="1"/>
  <c r="C19" i="5" s="1"/>
  <c r="A24" i="7"/>
  <c r="C23" i="7"/>
  <c r="B23" i="7"/>
  <c r="C25" i="1" l="1"/>
  <c r="E25" i="1" s="1"/>
  <c r="B25" i="1"/>
  <c r="F25" i="1" s="1"/>
  <c r="D18" i="5"/>
  <c r="A19" i="5" s="1"/>
  <c r="B19" i="5"/>
  <c r="E19" i="5" s="1"/>
  <c r="F19" i="5" s="1"/>
  <c r="C20" i="5" s="1"/>
  <c r="C24" i="7"/>
  <c r="A25" i="7"/>
  <c r="B24" i="7"/>
  <c r="B26" i="1" l="1"/>
  <c r="F26" i="1" s="1"/>
  <c r="C26" i="1"/>
  <c r="E26" i="1" s="1"/>
  <c r="D19" i="5"/>
  <c r="A20" i="5" s="1"/>
  <c r="B20" i="5"/>
  <c r="A26" i="7"/>
  <c r="C25" i="7"/>
  <c r="B25" i="7"/>
  <c r="B27" i="1" l="1"/>
  <c r="F27" i="1" s="1"/>
  <c r="C27" i="1"/>
  <c r="E27" i="1" s="1"/>
  <c r="D20" i="5"/>
  <c r="A21" i="5" s="1"/>
  <c r="E20" i="5"/>
  <c r="C26" i="7"/>
  <c r="A27" i="7"/>
  <c r="B26" i="7"/>
  <c r="C28" i="1" l="1"/>
  <c r="E28" i="1" s="1"/>
  <c r="B28" i="1"/>
  <c r="F28" i="1" s="1"/>
  <c r="F20" i="5"/>
  <c r="C21" i="5" s="1"/>
  <c r="B21" i="5"/>
  <c r="A28" i="7"/>
  <c r="C27" i="7"/>
  <c r="B27" i="7"/>
  <c r="C29" i="1" l="1"/>
  <c r="E29" i="1" s="1"/>
  <c r="B29" i="1"/>
  <c r="F29" i="1" s="1"/>
  <c r="E21" i="5"/>
  <c r="F21" i="5" s="1"/>
  <c r="C22" i="5" s="1"/>
  <c r="D21" i="5"/>
  <c r="A22" i="5" s="1"/>
  <c r="C28" i="7"/>
  <c r="A29" i="7"/>
  <c r="B28" i="7"/>
  <c r="C30" i="1" l="1"/>
  <c r="E30" i="1" s="1"/>
  <c r="B30" i="1"/>
  <c r="F30" i="1" s="1"/>
  <c r="B22" i="5"/>
  <c r="A30" i="7"/>
  <c r="C29" i="7"/>
  <c r="B29" i="7"/>
  <c r="B31" i="1" l="1"/>
  <c r="F31" i="1" s="1"/>
  <c r="C31" i="1"/>
  <c r="E31" i="1" s="1"/>
  <c r="D22" i="5"/>
  <c r="A23" i="5" s="1"/>
  <c r="E22" i="5"/>
  <c r="C30" i="7"/>
  <c r="A31" i="7"/>
  <c r="B30" i="7"/>
  <c r="B32" i="1" l="1"/>
  <c r="F32" i="1" s="1"/>
  <c r="C32" i="1"/>
  <c r="E32" i="1" s="1"/>
  <c r="F22" i="5"/>
  <c r="C23" i="5" s="1"/>
  <c r="B23" i="5"/>
  <c r="A32" i="7"/>
  <c r="C31" i="7"/>
  <c r="B31" i="7"/>
  <c r="C33" i="1" l="1"/>
  <c r="E33" i="1" s="1"/>
  <c r="B33" i="1"/>
  <c r="F33" i="1" s="1"/>
  <c r="D23" i="5"/>
  <c r="A24" i="5" s="1"/>
  <c r="E23" i="5"/>
  <c r="F23" i="5" s="1"/>
  <c r="C24" i="5" s="1"/>
  <c r="C32" i="7"/>
  <c r="A33" i="7"/>
  <c r="B32" i="7"/>
  <c r="B34" i="1" l="1"/>
  <c r="F34" i="1" s="1"/>
  <c r="C34" i="1"/>
  <c r="E34" i="1" s="1"/>
  <c r="B24" i="5"/>
  <c r="D24" i="5" s="1"/>
  <c r="A25" i="5" s="1"/>
  <c r="C33" i="7"/>
  <c r="B33" i="7"/>
  <c r="B35" i="1" l="1"/>
  <c r="F35" i="1" s="1"/>
  <c r="C35" i="1"/>
  <c r="E35" i="1" s="1"/>
  <c r="E24" i="5"/>
  <c r="F24" i="5" s="1"/>
  <c r="C25" i="5" s="1"/>
  <c r="B36" i="1" l="1"/>
  <c r="F36" i="1" s="1"/>
  <c r="C36" i="1"/>
  <c r="E36" i="1" s="1"/>
  <c r="B25" i="5"/>
  <c r="C37" i="1" l="1"/>
  <c r="E37" i="1" s="1"/>
  <c r="B37" i="1"/>
  <c r="F37" i="1" s="1"/>
  <c r="D25" i="5"/>
  <c r="A26" i="5" s="1"/>
  <c r="E25" i="5"/>
  <c r="F25" i="5" s="1"/>
  <c r="C26" i="5" s="1"/>
  <c r="B38" i="1" l="1"/>
  <c r="F38" i="1" s="1"/>
  <c r="C38" i="1"/>
  <c r="E38" i="1" s="1"/>
  <c r="B26" i="5"/>
  <c r="B39" i="1" l="1"/>
  <c r="F39" i="1" s="1"/>
  <c r="C39" i="1"/>
  <c r="E39" i="1" s="1"/>
  <c r="E26" i="5"/>
  <c r="F26" i="5" s="1"/>
  <c r="C27" i="5" s="1"/>
  <c r="D26" i="5"/>
  <c r="A27" i="5" s="1"/>
  <c r="B40" i="1" l="1"/>
  <c r="F40" i="1" s="1"/>
  <c r="C40" i="1"/>
  <c r="E40" i="1" s="1"/>
  <c r="B27" i="5"/>
  <c r="E27" i="5" s="1"/>
  <c r="F27" i="5" s="1"/>
  <c r="C28" i="5" s="1"/>
  <c r="B41" i="1" l="1"/>
  <c r="F41" i="1" s="1"/>
  <c r="C41" i="1"/>
  <c r="E41" i="1" s="1"/>
  <c r="D27" i="5"/>
  <c r="A28" i="5" s="1"/>
  <c r="B28" i="5"/>
  <c r="D28" i="5" s="1"/>
  <c r="B42" i="1" l="1"/>
  <c r="F42" i="1" s="1"/>
  <c r="C42" i="1"/>
  <c r="E42" i="1" s="1"/>
  <c r="A29" i="5"/>
  <c r="E28" i="5"/>
  <c r="F28" i="5" s="1"/>
  <c r="C29" i="5" s="1"/>
  <c r="B43" i="1" l="1"/>
  <c r="F43" i="1" s="1"/>
  <c r="C43" i="1"/>
  <c r="E43" i="1" s="1"/>
  <c r="B29" i="5"/>
  <c r="E29" i="5" s="1"/>
  <c r="F29" i="5" s="1"/>
  <c r="C30" i="5" s="1"/>
  <c r="B44" i="1" l="1"/>
  <c r="F44" i="1" s="1"/>
  <c r="C44" i="1"/>
  <c r="E44" i="1" s="1"/>
  <c r="D29" i="5"/>
  <c r="A30" i="5" s="1"/>
  <c r="B30" i="5"/>
  <c r="B45" i="1" l="1"/>
  <c r="F45" i="1" s="1"/>
  <c r="C45" i="1"/>
  <c r="E45" i="1" s="1"/>
  <c r="D30" i="5"/>
  <c r="A31" i="5" s="1"/>
  <c r="E30" i="5"/>
  <c r="F30" i="5" s="1"/>
  <c r="C31" i="5" s="1"/>
  <c r="B46" i="1" l="1"/>
  <c r="F46" i="1" s="1"/>
  <c r="C46" i="1"/>
  <c r="E46" i="1" s="1"/>
  <c r="B31" i="5"/>
  <c r="B47" i="1" l="1"/>
  <c r="F47" i="1" s="1"/>
  <c r="C47" i="1"/>
  <c r="E47" i="1" s="1"/>
  <c r="E31" i="5"/>
  <c r="F31" i="5" s="1"/>
  <c r="C32" i="5" s="1"/>
  <c r="D31" i="5"/>
  <c r="A32" i="5" s="1"/>
  <c r="B48" i="1" l="1"/>
  <c r="F48" i="1" s="1"/>
  <c r="C48" i="1"/>
  <c r="E48" i="1" s="1"/>
  <c r="B32" i="5"/>
  <c r="B49" i="1" l="1"/>
  <c r="F49" i="1" s="1"/>
  <c r="C49" i="1"/>
  <c r="E49" i="1" s="1"/>
  <c r="E32" i="5"/>
  <c r="F32" i="5" s="1"/>
  <c r="C33" i="5" s="1"/>
  <c r="D32" i="5"/>
  <c r="A33" i="5" s="1"/>
  <c r="C50" i="1" l="1"/>
  <c r="E50" i="1" s="1"/>
  <c r="B50" i="1"/>
  <c r="F50" i="1" s="1"/>
  <c r="B33" i="5"/>
  <c r="D33" i="5" s="1"/>
  <c r="C51" i="1" l="1"/>
  <c r="E51" i="1" s="1"/>
  <c r="B51" i="1"/>
  <c r="F51" i="1" s="1"/>
  <c r="E33" i="5"/>
  <c r="F33" i="5" s="1"/>
  <c r="C34" i="5" s="1"/>
  <c r="M27" i="5" s="1"/>
  <c r="K27" i="5" s="1"/>
  <c r="A34" i="5"/>
  <c r="I27" i="5" s="1"/>
  <c r="B52" i="1" l="1"/>
  <c r="F52" i="1" s="1"/>
  <c r="C52" i="1"/>
  <c r="E52" i="1" s="1"/>
  <c r="B34" i="5"/>
  <c r="L27" i="5" s="1"/>
  <c r="J27" i="5" s="1"/>
  <c r="B53" i="1" l="1"/>
  <c r="F53" i="1" s="1"/>
  <c r="C53" i="1"/>
  <c r="E53" i="1" s="1"/>
  <c r="D34" i="5"/>
  <c r="E34" i="5"/>
  <c r="F34" i="5" s="1"/>
  <c r="B54" i="1" l="1"/>
  <c r="F54" i="1" s="1"/>
  <c r="C54" i="1"/>
  <c r="E54" i="1" s="1"/>
  <c r="C55" i="1" l="1"/>
  <c r="E55" i="1" s="1"/>
  <c r="B55" i="1"/>
  <c r="F55" i="1" s="1"/>
  <c r="C56" i="1" l="1"/>
  <c r="E56" i="1" s="1"/>
  <c r="B56" i="1"/>
  <c r="F56" i="1" s="1"/>
  <c r="C57" i="1" l="1"/>
  <c r="E57" i="1" s="1"/>
  <c r="B57" i="1"/>
  <c r="F57" i="1" s="1"/>
  <c r="C58" i="1" l="1"/>
  <c r="E58" i="1" s="1"/>
  <c r="B58" i="1"/>
  <c r="F58" i="1" s="1"/>
  <c r="C59" i="1" l="1"/>
  <c r="E59" i="1" s="1"/>
  <c r="B59" i="1"/>
  <c r="F59" i="1" s="1"/>
  <c r="C60" i="1" l="1"/>
  <c r="E60" i="1" s="1"/>
  <c r="B60" i="1"/>
  <c r="F60" i="1" s="1"/>
  <c r="C61" i="1" l="1"/>
  <c r="E61" i="1" s="1"/>
  <c r="B61" i="1"/>
  <c r="F61" i="1" s="1"/>
  <c r="C62" i="1" l="1"/>
  <c r="E62" i="1" s="1"/>
  <c r="B62" i="1"/>
  <c r="F62" i="1" s="1"/>
  <c r="C63" i="1" l="1"/>
  <c r="E63" i="1" s="1"/>
  <c r="B63" i="1"/>
  <c r="F63" i="1" s="1"/>
  <c r="C64" i="1" l="1"/>
  <c r="E64" i="1" s="1"/>
  <c r="B64" i="1"/>
  <c r="F64" i="1" s="1"/>
  <c r="C65" i="1" l="1"/>
  <c r="E65" i="1" s="1"/>
  <c r="B65" i="1"/>
  <c r="F65" i="1" s="1"/>
  <c r="C66" i="1" l="1"/>
  <c r="E66" i="1" s="1"/>
  <c r="B66" i="1"/>
  <c r="F66" i="1" s="1"/>
  <c r="C67" i="1" l="1"/>
  <c r="E67" i="1" s="1"/>
  <c r="B67" i="1"/>
  <c r="F67" i="1" s="1"/>
  <c r="C68" i="1" l="1"/>
  <c r="E68" i="1" s="1"/>
  <c r="B68" i="1"/>
  <c r="F68" i="1" s="1"/>
  <c r="C69" i="1" l="1"/>
  <c r="E69" i="1" s="1"/>
  <c r="B69" i="1"/>
  <c r="F69" i="1" s="1"/>
</calcChain>
</file>

<file path=xl/sharedStrings.xml><?xml version="1.0" encoding="utf-8"?>
<sst xmlns="http://schemas.openxmlformats.org/spreadsheetml/2006/main" count="43" uniqueCount="28">
  <si>
    <t>a</t>
  </si>
  <si>
    <t>b</t>
  </si>
  <si>
    <t>X forces</t>
  </si>
  <si>
    <t>Y forces</t>
  </si>
  <si>
    <t>time</t>
  </si>
  <si>
    <r>
      <t>∆</t>
    </r>
    <r>
      <rPr>
        <b/>
        <sz val="10"/>
        <rFont val="Arial"/>
        <family val="2"/>
      </rPr>
      <t>t</t>
    </r>
  </si>
  <si>
    <t>Constant</t>
  </si>
  <si>
    <t>X losses</t>
  </si>
  <si>
    <t>Y losses</t>
  </si>
  <si>
    <t>a*y*∆t</t>
  </si>
  <si>
    <t>b*x*∆t</t>
  </si>
  <si>
    <t>Expon(λ)</t>
  </si>
  <si>
    <t>Unif &lt; P</t>
  </si>
  <si>
    <t>Unif &gt;= P</t>
  </si>
  <si>
    <t>λ=a*y+b*x</t>
  </si>
  <si>
    <t>P=a*y/(a*y+b*x)</t>
  </si>
  <si>
    <t>Model</t>
  </si>
  <si>
    <t>Time</t>
  </si>
  <si>
    <t>X Wins?</t>
  </si>
  <si>
    <t>Y wins?</t>
  </si>
  <si>
    <t>X left</t>
  </si>
  <si>
    <t>Y left</t>
  </si>
  <si>
    <t>Stochastic (this run)</t>
  </si>
  <si>
    <t>Stochastic (n=1000)</t>
  </si>
  <si>
    <t>Deterministic</t>
  </si>
  <si>
    <t>Note: These constants are linked to the Stochastic sheet</t>
  </si>
  <si>
    <t>Winner</t>
  </si>
  <si>
    <t>&lt;--- Push the button to recalculate the Stochastic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</si>
</sst>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%"/>
  </numFmts>
  <fonts count="7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/>
    </xf>
    <xf numFmtId="2" fontId="3" fillId="0" borderId="0" xfId="0" quotePrefix="1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0" borderId="0" xfId="0" applyFont="1"/>
    <xf numFmtId="0" fontId="3" fillId="0" borderId="0" xfId="0" quotePrefix="1" applyFont="1" applyAlignment="1">
      <alignment horizontal="center"/>
    </xf>
    <xf numFmtId="1" fontId="5" fillId="0" borderId="0" xfId="0" applyNumberFormat="1" applyFont="1" applyAlignment="1">
      <alignment horizontal="center"/>
    </xf>
    <xf numFmtId="164" fontId="5" fillId="0" borderId="0" xfId="0" applyNumberFormat="1" applyFont="1"/>
    <xf numFmtId="2" fontId="5" fillId="0" borderId="0" xfId="0" applyNumberFormat="1" applyFont="1"/>
    <xf numFmtId="1" fontId="5" fillId="0" borderId="0" xfId="0" applyNumberFormat="1" applyFont="1"/>
    <xf numFmtId="165" fontId="5" fillId="0" borderId="0" xfId="1" applyNumberFormat="1" applyFont="1"/>
    <xf numFmtId="164" fontId="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164" fontId="5" fillId="0" borderId="0" xfId="0" applyNumberFormat="1" applyFont="1" applyAlignment="1">
      <alignment horizontal="right"/>
    </xf>
    <xf numFmtId="2" fontId="3" fillId="0" borderId="0" xfId="0" quotePrefix="1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Square Law Event Based Simulation
(Stochastic)</a:t>
            </a:r>
          </a:p>
        </c:rich>
      </c:tx>
      <c:layout>
        <c:manualLayout>
          <c:xMode val="edge"/>
          <c:yMode val="edge"/>
          <c:x val="0.20488808793984897"/>
          <c:y val="3.49012662170673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89516036826718"/>
          <c:y val="0.20649915845098174"/>
          <c:w val="0.82164304653429232"/>
          <c:h val="0.63403966961005664"/>
        </c:manualLayout>
      </c:layout>
      <c:scatterChart>
        <c:scatterStyle val="lineMarker"/>
        <c:varyColors val="0"/>
        <c:ser>
          <c:idx val="0"/>
          <c:order val="0"/>
          <c:tx>
            <c:v>X Stochastic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Stochastic!$A$4:$A$34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0.23172119302250901</c:v>
                </c:pt>
                <c:pt idx="2">
                  <c:v>0.46230159145711858</c:v>
                </c:pt>
                <c:pt idx="3">
                  <c:v>0.48381402625215986</c:v>
                </c:pt>
                <c:pt idx="4">
                  <c:v>0.50015547555869944</c:v>
                </c:pt>
                <c:pt idx="5">
                  <c:v>0.71615132984013841</c:v>
                </c:pt>
                <c:pt idx="6">
                  <c:v>0.77064758876362949</c:v>
                </c:pt>
                <c:pt idx="7">
                  <c:v>0.78366742712653181</c:v>
                </c:pt>
                <c:pt idx="8">
                  <c:v>0.79232532690587987</c:v>
                </c:pt>
                <c:pt idx="9">
                  <c:v>0.89542979752022189</c:v>
                </c:pt>
                <c:pt idx="10">
                  <c:v>0.96561750146641989</c:v>
                </c:pt>
                <c:pt idx="11">
                  <c:v>1.4013190106493751</c:v>
                </c:pt>
                <c:pt idx="12">
                  <c:v>1.4256548080616769</c:v>
                </c:pt>
                <c:pt idx="13">
                  <c:v>1.6866258211360505</c:v>
                </c:pt>
                <c:pt idx="14">
                  <c:v>2.9509811602192819</c:v>
                </c:pt>
                <c:pt idx="15">
                  <c:v>2.9646298008714496</c:v>
                </c:pt>
                <c:pt idx="16">
                  <c:v>3.3321582039259607</c:v>
                </c:pt>
                <c:pt idx="17">
                  <c:v>4.2916421244243868</c:v>
                </c:pt>
                <c:pt idx="18">
                  <c:v>4.3126430040981676</c:v>
                </c:pt>
                <c:pt idx="19">
                  <c:v>5.4633107396167082</c:v>
                </c:pt>
                <c:pt idx="20">
                  <c:v>5.627785829199504</c:v>
                </c:pt>
                <c:pt idx="21">
                  <c:v>5.7389061310223921</c:v>
                </c:pt>
                <c:pt idx="22">
                  <c:v>6.7716967564613366</c:v>
                </c:pt>
                <c:pt idx="23">
                  <c:v>8.7225725945920782</c:v>
                </c:pt>
                <c:pt idx="24">
                  <c:v>8.7225725945920782</c:v>
                </c:pt>
                <c:pt idx="25">
                  <c:v>8.7225725945920782</c:v>
                </c:pt>
                <c:pt idx="26">
                  <c:v>8.7225725945920782</c:v>
                </c:pt>
                <c:pt idx="27">
                  <c:v>8.7225725945920782</c:v>
                </c:pt>
                <c:pt idx="28">
                  <c:v>8.7225725945920782</c:v>
                </c:pt>
                <c:pt idx="29">
                  <c:v>8.7225725945920782</c:v>
                </c:pt>
                <c:pt idx="30">
                  <c:v>8.7225725945920782</c:v>
                </c:pt>
              </c:numCache>
            </c:numRef>
          </c:xVal>
          <c:yVal>
            <c:numRef>
              <c:f>Stochastic!$B$4:$B$34</c:f>
              <c:numCache>
                <c:formatCode>0</c:formatCode>
                <c:ptCount val="31"/>
                <c:pt idx="0">
                  <c:v>20</c:v>
                </c:pt>
                <c:pt idx="1">
                  <c:v>19</c:v>
                </c:pt>
                <c:pt idx="2">
                  <c:v>19</c:v>
                </c:pt>
                <c:pt idx="3">
                  <c:v>18</c:v>
                </c:pt>
                <c:pt idx="4">
                  <c:v>17</c:v>
                </c:pt>
                <c:pt idx="5">
                  <c:v>16</c:v>
                </c:pt>
                <c:pt idx="6">
                  <c:v>16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14</c:v>
                </c:pt>
                <c:pt idx="11">
                  <c:v>14</c:v>
                </c:pt>
                <c:pt idx="12">
                  <c:v>13</c:v>
                </c:pt>
                <c:pt idx="13">
                  <c:v>13</c:v>
                </c:pt>
                <c:pt idx="14">
                  <c:v>12</c:v>
                </c:pt>
                <c:pt idx="15">
                  <c:v>11</c:v>
                </c:pt>
                <c:pt idx="16">
                  <c:v>10</c:v>
                </c:pt>
                <c:pt idx="17">
                  <c:v>10</c:v>
                </c:pt>
                <c:pt idx="18">
                  <c:v>9</c:v>
                </c:pt>
                <c:pt idx="19">
                  <c:v>8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</c:numCache>
            </c:numRef>
          </c:yVal>
          <c:smooth val="0"/>
        </c:ser>
        <c:ser>
          <c:idx val="1"/>
          <c:order val="1"/>
          <c:tx>
            <c:v>Y Stochastic</c:v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Stochastic!$A$4:$A$34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0.23172119302250901</c:v>
                </c:pt>
                <c:pt idx="2">
                  <c:v>0.46230159145711858</c:v>
                </c:pt>
                <c:pt idx="3">
                  <c:v>0.48381402625215986</c:v>
                </c:pt>
                <c:pt idx="4">
                  <c:v>0.50015547555869944</c:v>
                </c:pt>
                <c:pt idx="5">
                  <c:v>0.71615132984013841</c:v>
                </c:pt>
                <c:pt idx="6">
                  <c:v>0.77064758876362949</c:v>
                </c:pt>
                <c:pt idx="7">
                  <c:v>0.78366742712653181</c:v>
                </c:pt>
                <c:pt idx="8">
                  <c:v>0.79232532690587987</c:v>
                </c:pt>
                <c:pt idx="9">
                  <c:v>0.89542979752022189</c:v>
                </c:pt>
                <c:pt idx="10">
                  <c:v>0.96561750146641989</c:v>
                </c:pt>
                <c:pt idx="11">
                  <c:v>1.4013190106493751</c:v>
                </c:pt>
                <c:pt idx="12">
                  <c:v>1.4256548080616769</c:v>
                </c:pt>
                <c:pt idx="13">
                  <c:v>1.6866258211360505</c:v>
                </c:pt>
                <c:pt idx="14">
                  <c:v>2.9509811602192819</c:v>
                </c:pt>
                <c:pt idx="15">
                  <c:v>2.9646298008714496</c:v>
                </c:pt>
                <c:pt idx="16">
                  <c:v>3.3321582039259607</c:v>
                </c:pt>
                <c:pt idx="17">
                  <c:v>4.2916421244243868</c:v>
                </c:pt>
                <c:pt idx="18">
                  <c:v>4.3126430040981676</c:v>
                </c:pt>
                <c:pt idx="19">
                  <c:v>5.4633107396167082</c:v>
                </c:pt>
                <c:pt idx="20">
                  <c:v>5.627785829199504</c:v>
                </c:pt>
                <c:pt idx="21">
                  <c:v>5.7389061310223921</c:v>
                </c:pt>
                <c:pt idx="22">
                  <c:v>6.7716967564613366</c:v>
                </c:pt>
                <c:pt idx="23">
                  <c:v>8.7225725945920782</c:v>
                </c:pt>
                <c:pt idx="24">
                  <c:v>8.7225725945920782</c:v>
                </c:pt>
                <c:pt idx="25">
                  <c:v>8.7225725945920782</c:v>
                </c:pt>
                <c:pt idx="26">
                  <c:v>8.7225725945920782</c:v>
                </c:pt>
                <c:pt idx="27">
                  <c:v>8.7225725945920782</c:v>
                </c:pt>
                <c:pt idx="28">
                  <c:v>8.7225725945920782</c:v>
                </c:pt>
                <c:pt idx="29">
                  <c:v>8.7225725945920782</c:v>
                </c:pt>
                <c:pt idx="30">
                  <c:v>8.7225725945920782</c:v>
                </c:pt>
              </c:numCache>
            </c:numRef>
          </c:xVal>
          <c:yVal>
            <c:numRef>
              <c:f>Stochastic!$C$4:$C$34</c:f>
              <c:numCache>
                <c:formatCode>0</c:formatCode>
                <c:ptCount val="31"/>
                <c:pt idx="0">
                  <c:v>10</c:v>
                </c:pt>
                <c:pt idx="1">
                  <c:v>10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8</c:v>
                </c:pt>
                <c:pt idx="8">
                  <c:v>7</c:v>
                </c:pt>
                <c:pt idx="9">
                  <c:v>6</c:v>
                </c:pt>
                <c:pt idx="10">
                  <c:v>6</c:v>
                </c:pt>
                <c:pt idx="11">
                  <c:v>5</c:v>
                </c:pt>
                <c:pt idx="12">
                  <c:v>5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X Deterministic</c:v>
          </c:tx>
          <c:spPr>
            <a:ln w="12700">
              <a:solidFill>
                <a:srgbClr val="000080"/>
              </a:solidFill>
              <a:prstDash val="sysDash"/>
            </a:ln>
          </c:spPr>
          <c:marker>
            <c:symbol val="none"/>
          </c:marker>
          <c:xVal>
            <c:numRef>
              <c:f>'Deterministic (Exact)'!$A$4:$A$34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0.215204470482002</c:v>
                </c:pt>
                <c:pt idx="2">
                  <c:v>0.43040894096400401</c:v>
                </c:pt>
                <c:pt idx="3">
                  <c:v>0.64561341144600604</c:v>
                </c:pt>
                <c:pt idx="4">
                  <c:v>0.86081788192800801</c:v>
                </c:pt>
                <c:pt idx="5">
                  <c:v>1.0760223524100101</c:v>
                </c:pt>
                <c:pt idx="6">
                  <c:v>1.2912268228920121</c:v>
                </c:pt>
                <c:pt idx="7">
                  <c:v>1.506431293374014</c:v>
                </c:pt>
                <c:pt idx="8">
                  <c:v>1.721635763856016</c:v>
                </c:pt>
                <c:pt idx="9">
                  <c:v>1.936840234338018</c:v>
                </c:pt>
                <c:pt idx="10">
                  <c:v>2.1520447048200202</c:v>
                </c:pt>
                <c:pt idx="11">
                  <c:v>2.3672491753020224</c:v>
                </c:pt>
                <c:pt idx="12">
                  <c:v>2.5824536457840246</c:v>
                </c:pt>
                <c:pt idx="13">
                  <c:v>2.7976581162660268</c:v>
                </c:pt>
                <c:pt idx="14">
                  <c:v>3.012862586748029</c:v>
                </c:pt>
                <c:pt idx="15">
                  <c:v>3.2280670572300312</c:v>
                </c:pt>
                <c:pt idx="16">
                  <c:v>3.4432715277120334</c:v>
                </c:pt>
                <c:pt idx="17">
                  <c:v>3.6584759981940356</c:v>
                </c:pt>
                <c:pt idx="18">
                  <c:v>3.8736804686760378</c:v>
                </c:pt>
                <c:pt idx="19">
                  <c:v>4.0888849391580395</c:v>
                </c:pt>
                <c:pt idx="20">
                  <c:v>4.3040894096400413</c:v>
                </c:pt>
                <c:pt idx="21">
                  <c:v>4.519293880122043</c:v>
                </c:pt>
                <c:pt idx="22">
                  <c:v>4.7344983506040448</c:v>
                </c:pt>
                <c:pt idx="23">
                  <c:v>4.9497028210860465</c:v>
                </c:pt>
                <c:pt idx="24">
                  <c:v>5.1649072915680483</c:v>
                </c:pt>
                <c:pt idx="25">
                  <c:v>5.38011176205005</c:v>
                </c:pt>
                <c:pt idx="26">
                  <c:v>5.5953162325320518</c:v>
                </c:pt>
                <c:pt idx="27">
                  <c:v>5.8105207030140535</c:v>
                </c:pt>
                <c:pt idx="28">
                  <c:v>6.0257251734960553</c:v>
                </c:pt>
                <c:pt idx="29">
                  <c:v>6.2409296439780571</c:v>
                </c:pt>
                <c:pt idx="30">
                  <c:v>6.4561341144600597</c:v>
                </c:pt>
              </c:numCache>
            </c:numRef>
          </c:xVal>
          <c:yVal>
            <c:numRef>
              <c:f>'Deterministic (Exact)'!$B$4:$B$34</c:f>
              <c:numCache>
                <c:formatCode>0.00</c:formatCode>
                <c:ptCount val="31"/>
                <c:pt idx="0" formatCode="0">
                  <c:v>20</c:v>
                </c:pt>
                <c:pt idx="1">
                  <c:v>18.946723268891581</c:v>
                </c:pt>
                <c:pt idx="2">
                  <c:v>17.937328950564876</c:v>
                </c:pt>
                <c:pt idx="3">
                  <c:v>16.969479191792821</c:v>
                </c:pt>
                <c:pt idx="4">
                  <c:v>16.040932360498871</c:v>
                </c:pt>
                <c:pt idx="5">
                  <c:v>15.149537853923917</c:v>
                </c:pt>
                <c:pt idx="6">
                  <c:v>14.293231117625824</c:v>
                </c:pt>
                <c:pt idx="7">
                  <c:v>13.470028863774985</c:v>
                </c:pt>
                <c:pt idx="8">
                  <c:v>12.678024477671141</c:v>
                </c:pt>
                <c:pt idx="9">
                  <c:v>11.915383601842407</c:v>
                </c:pt>
                <c:pt idx="10">
                  <c:v>11.180339887498949</c:v>
                </c:pt>
                <c:pt idx="11">
                  <c:v>10.471190903501219</c:v>
                </c:pt>
                <c:pt idx="12">
                  <c:v>9.7862941933675387</c:v>
                </c:pt>
                <c:pt idx="13">
                  <c:v>9.124063471188709</c:v>
                </c:pt>
                <c:pt idx="14">
                  <c:v>8.4829649476390045</c:v>
                </c:pt>
                <c:pt idx="15">
                  <c:v>7.8615137775742294</c:v>
                </c:pt>
                <c:pt idx="16">
                  <c:v>7.2582706209891814</c:v>
                </c:pt>
                <c:pt idx="17">
                  <c:v>6.6718383093693179</c:v>
                </c:pt>
                <c:pt idx="18">
                  <c:v>6.1008586097156243</c:v>
                </c:pt>
                <c:pt idx="19">
                  <c:v>5.5440090787478287</c:v>
                </c:pt>
                <c:pt idx="20">
                  <c:v>4.9999999999999964</c:v>
                </c:pt>
                <c:pt idx="21">
                  <c:v>4.4675713967145807</c:v>
                </c:pt>
                <c:pt idx="22">
                  <c:v>3.9454901136164131</c:v>
                </c:pt>
                <c:pt idx="23">
                  <c:v>3.4325469608078301</c:v>
                </c:pt>
                <c:pt idx="24">
                  <c:v>2.927553913169894</c:v>
                </c:pt>
                <c:pt idx="25">
                  <c:v>2.4293413587832289</c:v>
                </c:pt>
                <c:pt idx="26">
                  <c:v>1.9367553899956054</c:v>
                </c:pt>
                <c:pt idx="27">
                  <c:v>1.4486551308620914</c:v>
                </c:pt>
                <c:pt idx="28">
                  <c:v>0.96391009476786849</c:v>
                </c:pt>
                <c:pt idx="29">
                  <c:v>0.48139756611373041</c:v>
                </c:pt>
                <c:pt idx="30">
                  <c:v>-8.8817841970012523E-16</c:v>
                </c:pt>
              </c:numCache>
            </c:numRef>
          </c:yVal>
          <c:smooth val="1"/>
        </c:ser>
        <c:ser>
          <c:idx val="3"/>
          <c:order val="3"/>
          <c:tx>
            <c:v>Y Deterministic</c:v>
          </c:tx>
          <c:spPr>
            <a:ln w="12700">
              <a:solidFill>
                <a:srgbClr val="FF00FF"/>
              </a:solidFill>
              <a:prstDash val="sysDash"/>
            </a:ln>
          </c:spPr>
          <c:marker>
            <c:symbol val="none"/>
          </c:marker>
          <c:xVal>
            <c:numRef>
              <c:f>'Deterministic (Exact)'!$A$4:$A$34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0.215204470482002</c:v>
                </c:pt>
                <c:pt idx="2">
                  <c:v>0.43040894096400401</c:v>
                </c:pt>
                <c:pt idx="3">
                  <c:v>0.64561341144600604</c:v>
                </c:pt>
                <c:pt idx="4">
                  <c:v>0.86081788192800801</c:v>
                </c:pt>
                <c:pt idx="5">
                  <c:v>1.0760223524100101</c:v>
                </c:pt>
                <c:pt idx="6">
                  <c:v>1.2912268228920121</c:v>
                </c:pt>
                <c:pt idx="7">
                  <c:v>1.506431293374014</c:v>
                </c:pt>
                <c:pt idx="8">
                  <c:v>1.721635763856016</c:v>
                </c:pt>
                <c:pt idx="9">
                  <c:v>1.936840234338018</c:v>
                </c:pt>
                <c:pt idx="10">
                  <c:v>2.1520447048200202</c:v>
                </c:pt>
                <c:pt idx="11">
                  <c:v>2.3672491753020224</c:v>
                </c:pt>
                <c:pt idx="12">
                  <c:v>2.5824536457840246</c:v>
                </c:pt>
                <c:pt idx="13">
                  <c:v>2.7976581162660268</c:v>
                </c:pt>
                <c:pt idx="14">
                  <c:v>3.012862586748029</c:v>
                </c:pt>
                <c:pt idx="15">
                  <c:v>3.2280670572300312</c:v>
                </c:pt>
                <c:pt idx="16">
                  <c:v>3.4432715277120334</c:v>
                </c:pt>
                <c:pt idx="17">
                  <c:v>3.6584759981940356</c:v>
                </c:pt>
                <c:pt idx="18">
                  <c:v>3.8736804686760378</c:v>
                </c:pt>
                <c:pt idx="19">
                  <c:v>4.0888849391580395</c:v>
                </c:pt>
                <c:pt idx="20">
                  <c:v>4.3040894096400413</c:v>
                </c:pt>
                <c:pt idx="21">
                  <c:v>4.519293880122043</c:v>
                </c:pt>
                <c:pt idx="22">
                  <c:v>4.7344983506040448</c:v>
                </c:pt>
                <c:pt idx="23">
                  <c:v>4.9497028210860465</c:v>
                </c:pt>
                <c:pt idx="24">
                  <c:v>5.1649072915680483</c:v>
                </c:pt>
                <c:pt idx="25">
                  <c:v>5.38011176205005</c:v>
                </c:pt>
                <c:pt idx="26">
                  <c:v>5.5953162325320518</c:v>
                </c:pt>
                <c:pt idx="27">
                  <c:v>5.8105207030140535</c:v>
                </c:pt>
                <c:pt idx="28">
                  <c:v>6.0257251734960553</c:v>
                </c:pt>
                <c:pt idx="29">
                  <c:v>6.2409296439780571</c:v>
                </c:pt>
                <c:pt idx="30">
                  <c:v>6.4561341144600597</c:v>
                </c:pt>
              </c:numCache>
            </c:numRef>
          </c:xVal>
          <c:yVal>
            <c:numRef>
              <c:f>'Deterministic (Exact)'!$C$4:$C$34</c:f>
              <c:numCache>
                <c:formatCode>0.00</c:formatCode>
                <c:ptCount val="31"/>
                <c:pt idx="0" formatCode="0">
                  <c:v>10</c:v>
                </c:pt>
                <c:pt idx="1">
                  <c:v>9.5810054026491152</c:v>
                </c:pt>
                <c:pt idx="2">
                  <c:v>9.1842013248923582</c:v>
                </c:pt>
                <c:pt idx="3">
                  <c:v>8.8086687307525597</c:v>
                </c:pt>
                <c:pt idx="4">
                  <c:v>8.4535378510313635</c:v>
                </c:pt>
                <c:pt idx="5">
                  <c:v>8.1179861688410586</c:v>
                </c:pt>
                <c:pt idx="6">
                  <c:v>7.8012365145772513</c:v>
                </c:pt>
                <c:pt idx="7">
                  <c:v>7.5025552659201553</c:v>
                </c:pt>
                <c:pt idx="8">
                  <c:v>7.2212506486955359</c:v>
                </c:pt>
                <c:pt idx="9">
                  <c:v>6.9566711346599517</c:v>
                </c:pt>
                <c:pt idx="10">
                  <c:v>6.7082039324993694</c:v>
                </c:pt>
                <c:pt idx="11">
                  <c:v>6.475273568546223</c:v>
                </c:pt>
                <c:pt idx="12">
                  <c:v>6.2573405539276701</c:v>
                </c:pt>
                <c:pt idx="13">
                  <c:v>6.053900135058063</c:v>
                </c:pt>
                <c:pt idx="14">
                  <c:v>5.8644811245816459</c:v>
                </c:pt>
                <c:pt idx="15">
                  <c:v>5.6886448100578306</c:v>
                </c:pt>
                <c:pt idx="16">
                  <c:v>5.5259839378614686</c:v>
                </c:pt>
                <c:pt idx="17">
                  <c:v>5.3761217699447252</c:v>
                </c:pt>
                <c:pt idx="18">
                  <c:v>5.238711211275942</c:v>
                </c:pt>
                <c:pt idx="19">
                  <c:v>5.1134340059345309</c:v>
                </c:pt>
                <c:pt idx="20">
                  <c:v>4.9999999999999991</c:v>
                </c:pt>
                <c:pt idx="21">
                  <c:v>4.898146469527882</c:v>
                </c:pt>
                <c:pt idx="22">
                  <c:v>4.8076375120561003</c:v>
                </c:pt>
                <c:pt idx="23">
                  <c:v>4.728263500232428</c:v>
                </c:pt>
                <c:pt idx="24">
                  <c:v>4.6598405962976104</c:v>
                </c:pt>
                <c:pt idx="25">
                  <c:v>4.6022103262996295</c:v>
                </c:pt>
                <c:pt idx="26">
                  <c:v>4.5552392130529658</c:v>
                </c:pt>
                <c:pt idx="27">
                  <c:v>4.5188184669927391</c:v>
                </c:pt>
                <c:pt idx="28">
                  <c:v>4.4928637342077344</c:v>
                </c:pt>
                <c:pt idx="29">
                  <c:v>4.4773149010687234</c:v>
                </c:pt>
                <c:pt idx="30">
                  <c:v>4.4721359549995787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20256"/>
        <c:axId val="40044416"/>
      </c:scatterChart>
      <c:valAx>
        <c:axId val="39120256"/>
        <c:scaling>
          <c:orientation val="minMax"/>
          <c:max val="8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</a:t>
                </a:r>
              </a:p>
            </c:rich>
          </c:tx>
          <c:layout>
            <c:manualLayout>
              <c:xMode val="edge"/>
              <c:yMode val="edge"/>
              <c:x val="0.51012952507472598"/>
              <c:y val="0.91906667704943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4416"/>
        <c:crosses val="autoZero"/>
        <c:crossBetween val="midCat"/>
      </c:valAx>
      <c:valAx>
        <c:axId val="40044416"/>
        <c:scaling>
          <c:orientation val="minMax"/>
          <c:max val="2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Forces remaining</a:t>
                </a:r>
              </a:p>
            </c:rich>
          </c:tx>
          <c:layout>
            <c:manualLayout>
              <c:xMode val="edge"/>
              <c:yMode val="edge"/>
              <c:x val="2.7179032073653436E-2"/>
              <c:y val="0.3402873456164065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1202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397526011183039"/>
          <c:y val="0.21522447500524858"/>
          <c:w val="0.30733213190977343"/>
          <c:h val="0.2588510577765827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Square Law Time Step Simulation
(Deterministic)</a:t>
            </a:r>
          </a:p>
        </c:rich>
      </c:tx>
      <c:layout>
        <c:manualLayout>
          <c:xMode val="edge"/>
          <c:yMode val="edge"/>
          <c:x val="0.22174859324037011"/>
          <c:y val="3.55596541075094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285726679908459"/>
          <c:y val="0.21335792464505698"/>
          <c:w val="0.81449964055597479"/>
          <c:h val="0.619330642372457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'Deterministic (Time Step)'!$B$3</c:f>
              <c:strCache>
                <c:ptCount val="1"/>
                <c:pt idx="0">
                  <c:v>X forces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'Deterministic (Time Step)'!$A$4:$A$69</c:f>
              <c:numCache>
                <c:formatCode>General</c:formatCode>
                <c:ptCount val="6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</c:numCache>
            </c:numRef>
          </c:xVal>
          <c:yVal>
            <c:numRef>
              <c:f>'Deterministic (Time Step)'!$B$4:$B$69</c:f>
              <c:numCache>
                <c:formatCode>0.00</c:formatCode>
                <c:ptCount val="66"/>
                <c:pt idx="0" formatCode="0">
                  <c:v>20</c:v>
                </c:pt>
                <c:pt idx="1">
                  <c:v>19.5</c:v>
                </c:pt>
                <c:pt idx="2">
                  <c:v>19.010000000000002</c:v>
                </c:pt>
                <c:pt idx="3">
                  <c:v>18.52975</c:v>
                </c:pt>
                <c:pt idx="4">
                  <c:v>18.059004999999999</c:v>
                </c:pt>
                <c:pt idx="5">
                  <c:v>17.597524874999998</c:v>
                </c:pt>
                <c:pt idx="6">
                  <c:v>17.145074252499999</c:v>
                </c:pt>
                <c:pt idx="7">
                  <c:v>16.7014223924375</c:v>
                </c:pt>
                <c:pt idx="8">
                  <c:v>16.26634306950125</c:v>
                </c:pt>
                <c:pt idx="9">
                  <c:v>15.839614457761218</c:v>
                </c:pt>
                <c:pt idx="10">
                  <c:v>15.421019017555938</c:v>
                </c:pt>
                <c:pt idx="11">
                  <c:v>15.010343384579539</c:v>
                </c:pt>
                <c:pt idx="12">
                  <c:v>14.607378261111917</c:v>
                </c:pt>
                <c:pt idx="13">
                  <c:v>14.211918309336584</c:v>
                </c:pt>
                <c:pt idx="14">
                  <c:v>13.823762046691808</c:v>
                </c:pt>
                <c:pt idx="15">
                  <c:v>13.4427117432017</c:v>
                </c:pt>
                <c:pt idx="16">
                  <c:v>13.068573320734938</c:v>
                </c:pt>
                <c:pt idx="17">
                  <c:v>12.701156254139777</c:v>
                </c:pt>
                <c:pt idx="18">
                  <c:v>12.340273474204983</c:v>
                </c:pt>
                <c:pt idx="19">
                  <c:v>11.985741272397259</c:v>
                </c:pt>
                <c:pt idx="20">
                  <c:v>11.637379207326639</c:v>
                </c:pt>
                <c:pt idx="21">
                  <c:v>11.295010012892217</c:v>
                </c:pt>
                <c:pt idx="22">
                  <c:v>10.958459508061457</c:v>
                </c:pt>
                <c:pt idx="23">
                  <c:v>10.627556508237143</c:v>
                </c:pt>
                <c:pt idx="24">
                  <c:v>10.302132738166861</c:v>
                </c:pt>
                <c:pt idx="25">
                  <c:v>9.9820227463506974</c:v>
                </c:pt>
                <c:pt idx="26">
                  <c:v>9.6670638209036159</c:v>
                </c:pt>
                <c:pt idx="27">
                  <c:v>9.357095906829711</c:v>
                </c:pt>
                <c:pt idx="28">
                  <c:v>9.0519615246662575</c:v>
                </c:pt>
                <c:pt idx="29">
                  <c:v>8.7515056904562183</c:v>
                </c:pt>
                <c:pt idx="30">
                  <c:v>8.4555758370085119</c:v>
                </c:pt>
                <c:pt idx="31">
                  <c:v>8.1640217364060348</c:v>
                </c:pt>
                <c:pt idx="32">
                  <c:v>7.8766954237220617</c:v>
                </c:pt>
                <c:pt idx="33">
                  <c:v>7.5934511219062912</c:v>
                </c:pt>
                <c:pt idx="34">
                  <c:v>7.3141451678023817</c:v>
                </c:pt>
                <c:pt idx="35">
                  <c:v>7.038635939259426</c:v>
                </c:pt>
                <c:pt idx="36">
                  <c:v>6.7667837833003714</c:v>
                </c:pt>
                <c:pt idx="37">
                  <c:v>6.498450945310946</c:v>
                </c:pt>
                <c:pt idx="38">
                  <c:v>6.2335014992131708</c:v>
                </c:pt>
                <c:pt idx="39">
                  <c:v>5.9718012785880514</c:v>
                </c:pt>
                <c:pt idx="40">
                  <c:v>5.7132178087125389</c:v>
                </c:pt>
                <c:pt idx="41">
                  <c:v>5.45762023947632</c:v>
                </c:pt>
                <c:pt idx="42">
                  <c:v>5.2048792791444578</c:v>
                </c:pt>
                <c:pt idx="43">
                  <c:v>4.9548671289323334</c:v>
                </c:pt>
                <c:pt idx="44">
                  <c:v>4.7074574183597813</c:v>
                </c:pt>
                <c:pt idx="45">
                  <c:v>4.4625251413516951</c:v>
                </c:pt>
                <c:pt idx="46">
                  <c:v>4.2199465930527893</c:v>
                </c:pt>
                <c:pt idx="47">
                  <c:v>3.979599307324559</c:v>
                </c:pt>
                <c:pt idx="48">
                  <c:v>3.7413619948928551</c:v>
                </c:pt>
                <c:pt idx="49">
                  <c:v>3.5051144821148137</c:v>
                </c:pt>
                <c:pt idx="50">
                  <c:v>3.2707376503342185</c:v>
                </c:pt>
                <c:pt idx="51">
                  <c:v>3.0381133757946808</c:v>
                </c:pt>
                <c:pt idx="52">
                  <c:v>2.8071244700803102</c:v>
                </c:pt>
                <c:pt idx="53">
                  <c:v>2.5776546210538367</c:v>
                </c:pt>
                <c:pt idx="54">
                  <c:v>2.3495883342624038</c:v>
                </c:pt>
                <c:pt idx="55">
                  <c:v>2.1228108747814978</c:v>
                </c:pt>
                <c:pt idx="56">
                  <c:v>1.8972082094677227</c:v>
                </c:pt>
                <c:pt idx="57">
                  <c:v>1.6726669495913384</c:v>
                </c:pt>
                <c:pt idx="58">
                  <c:v>1.4490742938196881</c:v>
                </c:pt>
                <c:pt idx="59">
                  <c:v>1.2263179715228334</c:v>
                </c:pt>
                <c:pt idx="60">
                  <c:v>1.0042861863728885</c:v>
                </c:pt>
                <c:pt idx="61">
                  <c:v>0.78286756020870507</c:v>
                </c:pt>
                <c:pt idx="62">
                  <c:v>0.56195107713770809</c:v>
                </c:pt>
                <c:pt idx="63">
                  <c:v>0.34142602784681547</c:v>
                </c:pt>
                <c:pt idx="64">
                  <c:v>0.12118195409449173</c:v>
                </c:pt>
                <c:pt idx="65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'Deterministic (Time Step)'!$C$3</c:f>
              <c:strCache>
                <c:ptCount val="1"/>
                <c:pt idx="0">
                  <c:v>Y forces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'Deterministic (Time Step)'!$A$4:$A$69</c:f>
              <c:numCache>
                <c:formatCode>General</c:formatCode>
                <c:ptCount val="6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</c:numCache>
            </c:numRef>
          </c:xVal>
          <c:yVal>
            <c:numRef>
              <c:f>'Deterministic (Time Step)'!$C$4:$C$69</c:f>
              <c:numCache>
                <c:formatCode>0.00</c:formatCode>
                <c:ptCount val="66"/>
                <c:pt idx="0" formatCode="0">
                  <c:v>10</c:v>
                </c:pt>
                <c:pt idx="1">
                  <c:v>9.8000000000000007</c:v>
                </c:pt>
                <c:pt idx="2">
                  <c:v>9.6050000000000004</c:v>
                </c:pt>
                <c:pt idx="3">
                  <c:v>9.4149000000000012</c:v>
                </c:pt>
                <c:pt idx="4">
                  <c:v>9.2296025000000004</c:v>
                </c:pt>
                <c:pt idx="5">
                  <c:v>9.0490124500000011</c:v>
                </c:pt>
                <c:pt idx="6">
                  <c:v>8.8730372012500016</c:v>
                </c:pt>
                <c:pt idx="7">
                  <c:v>8.7015864587250018</c:v>
                </c:pt>
                <c:pt idx="8">
                  <c:v>8.5345722348006277</c:v>
                </c:pt>
                <c:pt idx="9">
                  <c:v>8.3719088041056153</c:v>
                </c:pt>
                <c:pt idx="10">
                  <c:v>8.2135126595280035</c:v>
                </c:pt>
                <c:pt idx="11">
                  <c:v>8.0593024693524438</c:v>
                </c:pt>
                <c:pt idx="12">
                  <c:v>7.9091990355066484</c:v>
                </c:pt>
                <c:pt idx="13">
                  <c:v>7.763125252895529</c:v>
                </c:pt>
                <c:pt idx="14">
                  <c:v>7.6210060698021636</c:v>
                </c:pt>
                <c:pt idx="15">
                  <c:v>7.4827684493352455</c:v>
                </c:pt>
                <c:pt idx="16">
                  <c:v>7.3483413319032289</c:v>
                </c:pt>
                <c:pt idx="17">
                  <c:v>7.2176555986958792</c:v>
                </c:pt>
                <c:pt idx="18">
                  <c:v>7.0906440361544814</c:v>
                </c:pt>
                <c:pt idx="19">
                  <c:v>6.9672413014124315</c:v>
                </c:pt>
                <c:pt idx="20">
                  <c:v>6.8473838886884586</c:v>
                </c:pt>
                <c:pt idx="21">
                  <c:v>6.7310100966151918</c:v>
                </c:pt>
                <c:pt idx="22">
                  <c:v>6.6180599964862692</c:v>
                </c:pt>
                <c:pt idx="23">
                  <c:v>6.5084754014056543</c:v>
                </c:pt>
                <c:pt idx="24">
                  <c:v>6.402199836323283</c:v>
                </c:pt>
                <c:pt idx="25">
                  <c:v>6.2991785089416146</c:v>
                </c:pt>
                <c:pt idx="26">
                  <c:v>6.1993582814781076</c:v>
                </c:pt>
                <c:pt idx="27">
                  <c:v>6.1026876432690713</c:v>
                </c:pt>
                <c:pt idx="28">
                  <c:v>6.0091166842007739</c:v>
                </c:pt>
                <c:pt idx="29">
                  <c:v>5.918597068954111</c:v>
                </c:pt>
                <c:pt idx="30">
                  <c:v>5.8310820120495492</c:v>
                </c:pt>
                <c:pt idx="31">
                  <c:v>5.7465262536794643</c:v>
                </c:pt>
                <c:pt idx="32">
                  <c:v>5.6648860363154041</c:v>
                </c:pt>
                <c:pt idx="33">
                  <c:v>5.5861190820781834</c:v>
                </c:pt>
                <c:pt idx="34">
                  <c:v>5.5101845708591206</c:v>
                </c:pt>
                <c:pt idx="35">
                  <c:v>5.4370431191810971</c:v>
                </c:pt>
                <c:pt idx="36">
                  <c:v>5.3666567597885031</c:v>
                </c:pt>
                <c:pt idx="37">
                  <c:v>5.2989889219554991</c:v>
                </c:pt>
                <c:pt idx="38">
                  <c:v>5.2340044125023892</c:v>
                </c:pt>
                <c:pt idx="39">
                  <c:v>5.1716693975102572</c:v>
                </c:pt>
                <c:pt idx="40">
                  <c:v>5.1119513847243763</c:v>
                </c:pt>
                <c:pt idx="41">
                  <c:v>5.0548192066372506</c:v>
                </c:pt>
                <c:pt idx="42">
                  <c:v>5.0002430042424875</c:v>
                </c:pt>
                <c:pt idx="43">
                  <c:v>4.9481942114510433</c:v>
                </c:pt>
                <c:pt idx="44">
                  <c:v>4.8986455401617199</c:v>
                </c:pt>
                <c:pt idx="45">
                  <c:v>4.8515709659781221</c:v>
                </c:pt>
                <c:pt idx="46">
                  <c:v>4.8069457145646055</c:v>
                </c:pt>
                <c:pt idx="47">
                  <c:v>4.7647462486340775</c:v>
                </c:pt>
                <c:pt idx="48">
                  <c:v>4.7249502555608318</c:v>
                </c:pt>
                <c:pt idx="49">
                  <c:v>4.6875366356119033</c:v>
                </c:pt>
                <c:pt idx="50">
                  <c:v>4.6524854907907551</c:v>
                </c:pt>
                <c:pt idx="51">
                  <c:v>4.6197781142874126</c:v>
                </c:pt>
                <c:pt idx="52">
                  <c:v>4.5893969805294654</c:v>
                </c:pt>
                <c:pt idx="53">
                  <c:v>4.5613257358286621</c:v>
                </c:pt>
                <c:pt idx="54">
                  <c:v>4.5355491896181235</c:v>
                </c:pt>
                <c:pt idx="55">
                  <c:v>4.5120533062754991</c:v>
                </c:pt>
                <c:pt idx="56">
                  <c:v>4.4908251975276841</c:v>
                </c:pt>
                <c:pt idx="57">
                  <c:v>4.4718531154330066</c:v>
                </c:pt>
                <c:pt idx="58">
                  <c:v>4.4551264459370934</c:v>
                </c:pt>
                <c:pt idx="59">
                  <c:v>4.4406357029988968</c:v>
                </c:pt>
                <c:pt idx="60">
                  <c:v>4.4283725232836684</c:v>
                </c:pt>
                <c:pt idx="61">
                  <c:v>4.4183296614199392</c:v>
                </c:pt>
                <c:pt idx="62">
                  <c:v>4.4105009858178521</c:v>
                </c:pt>
                <c:pt idx="63">
                  <c:v>4.4048814750464746</c:v>
                </c:pt>
                <c:pt idx="64">
                  <c:v>4.4014672147680063</c:v>
                </c:pt>
                <c:pt idx="65">
                  <c:v>4.4002553952270613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73568"/>
        <c:axId val="180975488"/>
      </c:scatterChart>
      <c:valAx>
        <c:axId val="180973568"/>
        <c:scaling>
          <c:orientation val="minMax"/>
          <c:max val="8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time</a:t>
                </a:r>
              </a:p>
            </c:rich>
          </c:tx>
          <c:layout>
            <c:manualLayout>
              <c:xMode val="edge"/>
              <c:yMode val="edge"/>
              <c:x val="0.51385972087431919"/>
              <c:y val="0.915661093268369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975488"/>
        <c:crosses val="autoZero"/>
        <c:crossBetween val="midCat"/>
      </c:valAx>
      <c:valAx>
        <c:axId val="180975488"/>
        <c:scaling>
          <c:orientation val="minMax"/>
          <c:max val="2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Forces remaining</a:t>
                </a:r>
              </a:p>
            </c:rich>
          </c:tx>
          <c:layout>
            <c:manualLayout>
              <c:xMode val="edge"/>
              <c:yMode val="edge"/>
              <c:x val="3.1982970178899534E-2"/>
              <c:y val="0.334853409512381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9735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56083141146893"/>
          <c:y val="0.30818366893174898"/>
          <c:w val="0.18550122703761729"/>
          <c:h val="0.1274220938852423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2</xdr:row>
      <xdr:rowOff>152400</xdr:rowOff>
    </xdr:from>
    <xdr:to>
      <xdr:col>13</xdr:col>
      <xdr:colOff>247650</xdr:colOff>
      <xdr:row>22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9525</xdr:rowOff>
        </xdr:from>
        <xdr:to>
          <xdr:col>7</xdr:col>
          <xdr:colOff>600075</xdr:colOff>
          <xdr:row>29</xdr:row>
          <xdr:rowOff>152400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Replicate 1000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4</xdr:row>
          <xdr:rowOff>76200</xdr:rowOff>
        </xdr:from>
        <xdr:to>
          <xdr:col>13</xdr:col>
          <xdr:colOff>76200</xdr:colOff>
          <xdr:row>9</xdr:row>
          <xdr:rowOff>28575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10</xdr:row>
          <xdr:rowOff>0</xdr:rowOff>
        </xdr:from>
        <xdr:to>
          <xdr:col>13</xdr:col>
          <xdr:colOff>47625</xdr:colOff>
          <xdr:row>15</xdr:row>
          <xdr:rowOff>104775</xdr:rowOff>
        </xdr:to>
        <xdr:sp macro="" textlink="">
          <xdr:nvSpPr>
            <xdr:cNvPr id="4098" name="Object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16</xdr:row>
          <xdr:rowOff>114300</xdr:rowOff>
        </xdr:from>
        <xdr:to>
          <xdr:col>10</xdr:col>
          <xdr:colOff>114300</xdr:colOff>
          <xdr:row>27</xdr:row>
          <xdr:rowOff>19050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27</xdr:row>
          <xdr:rowOff>123825</xdr:rowOff>
        </xdr:from>
        <xdr:to>
          <xdr:col>10</xdr:col>
          <xdr:colOff>114300</xdr:colOff>
          <xdr:row>38</xdr:row>
          <xdr:rowOff>38100</xdr:rowOff>
        </xdr:to>
        <xdr:sp macro="" textlink="">
          <xdr:nvSpPr>
            <xdr:cNvPr id="4100" name="Object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2</xdr:row>
      <xdr:rowOff>152400</xdr:rowOff>
    </xdr:from>
    <xdr:to>
      <xdr:col>13</xdr:col>
      <xdr:colOff>247650</xdr:colOff>
      <xdr:row>22</xdr:row>
      <xdr:rowOff>142875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4"/>
  <sheetViews>
    <sheetView tabSelected="1" zoomScaleNormal="100" workbookViewId="0">
      <selection activeCell="A34" sqref="A34:C34"/>
    </sheetView>
  </sheetViews>
  <sheetFormatPr defaultRowHeight="12.75" x14ac:dyDescent="0.2"/>
  <cols>
    <col min="1" max="1" width="9.140625" style="4"/>
    <col min="2" max="3" width="9.140625" style="5"/>
    <col min="4" max="4" width="10.140625" style="4" customWidth="1"/>
    <col min="5" max="6" width="9.140625" style="5"/>
    <col min="8" max="8" width="10.28515625" customWidth="1"/>
  </cols>
  <sheetData>
    <row r="1" spans="1:6" x14ac:dyDescent="0.2">
      <c r="A1" s="2"/>
      <c r="B1" s="3" t="s">
        <v>0</v>
      </c>
      <c r="C1" s="3" t="s">
        <v>1</v>
      </c>
      <c r="D1" s="12" t="s">
        <v>14</v>
      </c>
      <c r="E1" s="21" t="s">
        <v>15</v>
      </c>
      <c r="F1" s="21"/>
    </row>
    <row r="2" spans="1:6" x14ac:dyDescent="0.2">
      <c r="B2" s="3">
        <v>0.5</v>
      </c>
      <c r="C2" s="3">
        <v>0.1</v>
      </c>
      <c r="D2" s="2" t="s">
        <v>5</v>
      </c>
      <c r="E2" s="6" t="s">
        <v>7</v>
      </c>
      <c r="F2" s="6" t="s">
        <v>8</v>
      </c>
    </row>
    <row r="3" spans="1:6" s="1" customFormat="1" x14ac:dyDescent="0.2">
      <c r="A3" s="3" t="s">
        <v>4</v>
      </c>
      <c r="B3" s="6" t="s">
        <v>2</v>
      </c>
      <c r="C3" s="6" t="s">
        <v>3</v>
      </c>
      <c r="D3" s="2" t="s">
        <v>11</v>
      </c>
      <c r="E3" s="6" t="s">
        <v>12</v>
      </c>
      <c r="F3" s="7" t="s">
        <v>13</v>
      </c>
    </row>
    <row r="4" spans="1:6" s="1" customFormat="1" x14ac:dyDescent="0.2">
      <c r="A4" s="3">
        <v>0</v>
      </c>
      <c r="B4" s="8">
        <v>20</v>
      </c>
      <c r="C4" s="8">
        <v>10</v>
      </c>
      <c r="D4" s="18">
        <f ca="1">-LN(1-RAND())/($B$2*C4+$C$2*B4)</f>
        <v>0.23172119302250901</v>
      </c>
      <c r="E4" s="13">
        <f ca="1">IF(RAND()&lt;($B$2*C4/($B$2*C4+$C$2*B4)),1,0)</f>
        <v>1</v>
      </c>
      <c r="F4" s="13">
        <f ca="1">1-E4</f>
        <v>0</v>
      </c>
    </row>
    <row r="5" spans="1:6" s="11" customFormat="1" x14ac:dyDescent="0.2">
      <c r="A5" s="18">
        <f ca="1">A4+IF(AND(B4&gt;0,C4&gt;0),D4,0)</f>
        <v>0.23172119302250901</v>
      </c>
      <c r="B5" s="13">
        <f ca="1">B4-MIN(E4,B4)</f>
        <v>19</v>
      </c>
      <c r="C5" s="13">
        <f ca="1">C4-MIN(F4,C4)</f>
        <v>10</v>
      </c>
      <c r="D5" s="18">
        <f t="shared" ref="D5:D34" ca="1" si="0">-LN(1-RAND())/($B$2*C5+$C$2*B5)</f>
        <v>0.23058039843460959</v>
      </c>
      <c r="E5" s="13">
        <f t="shared" ref="E5:E34" ca="1" si="1">IF(RAND()&lt;($B$2*C5/($B$2*C5+$C$2*B5)),1,0)</f>
        <v>0</v>
      </c>
      <c r="F5" s="13">
        <f t="shared" ref="F5:F34" ca="1" si="2">1-E5</f>
        <v>1</v>
      </c>
    </row>
    <row r="6" spans="1:6" s="11" customFormat="1" x14ac:dyDescent="0.2">
      <c r="A6" s="18">
        <f t="shared" ref="A6:A34" ca="1" si="3">A5+IF(AND(B5&gt;0,C5&gt;0),D5,0)</f>
        <v>0.46230159145711858</v>
      </c>
      <c r="B6" s="13">
        <f t="shared" ref="B6:B34" ca="1" si="4">B5-MIN(E5,B5)</f>
        <v>19</v>
      </c>
      <c r="C6" s="13">
        <f t="shared" ref="C6:C34" ca="1" si="5">C5-MIN(F5,C5)</f>
        <v>9</v>
      </c>
      <c r="D6" s="18">
        <f t="shared" ca="1" si="0"/>
        <v>2.1512434795041287E-2</v>
      </c>
      <c r="E6" s="13">
        <f t="shared" ca="1" si="1"/>
        <v>1</v>
      </c>
      <c r="F6" s="13">
        <f t="shared" ca="1" si="2"/>
        <v>0</v>
      </c>
    </row>
    <row r="7" spans="1:6" s="11" customFormat="1" x14ac:dyDescent="0.2">
      <c r="A7" s="18">
        <f t="shared" ca="1" si="3"/>
        <v>0.48381402625215986</v>
      </c>
      <c r="B7" s="13">
        <f t="shared" ca="1" si="4"/>
        <v>18</v>
      </c>
      <c r="C7" s="13">
        <f t="shared" ca="1" si="5"/>
        <v>9</v>
      </c>
      <c r="D7" s="18">
        <f t="shared" ca="1" si="0"/>
        <v>1.6341449306539614E-2</v>
      </c>
      <c r="E7" s="13">
        <f t="shared" ca="1" si="1"/>
        <v>1</v>
      </c>
      <c r="F7" s="13">
        <f t="shared" ca="1" si="2"/>
        <v>0</v>
      </c>
    </row>
    <row r="8" spans="1:6" s="11" customFormat="1" x14ac:dyDescent="0.2">
      <c r="A8" s="18">
        <f t="shared" ca="1" si="3"/>
        <v>0.50015547555869944</v>
      </c>
      <c r="B8" s="13">
        <f t="shared" ca="1" si="4"/>
        <v>17</v>
      </c>
      <c r="C8" s="13">
        <f t="shared" ca="1" si="5"/>
        <v>9</v>
      </c>
      <c r="D8" s="18">
        <f t="shared" ca="1" si="0"/>
        <v>0.215995854281439</v>
      </c>
      <c r="E8" s="13">
        <f t="shared" ca="1" si="1"/>
        <v>1</v>
      </c>
      <c r="F8" s="13">
        <f t="shared" ca="1" si="2"/>
        <v>0</v>
      </c>
    </row>
    <row r="9" spans="1:6" s="11" customFormat="1" x14ac:dyDescent="0.2">
      <c r="A9" s="18">
        <f t="shared" ca="1" si="3"/>
        <v>0.71615132984013841</v>
      </c>
      <c r="B9" s="13">
        <f t="shared" ca="1" si="4"/>
        <v>16</v>
      </c>
      <c r="C9" s="13">
        <f t="shared" ca="1" si="5"/>
        <v>9</v>
      </c>
      <c r="D9" s="18">
        <f t="shared" ca="1" si="0"/>
        <v>5.4496258923491074E-2</v>
      </c>
      <c r="E9" s="13">
        <f t="shared" ca="1" si="1"/>
        <v>0</v>
      </c>
      <c r="F9" s="13">
        <f t="shared" ca="1" si="2"/>
        <v>1</v>
      </c>
    </row>
    <row r="10" spans="1:6" s="11" customFormat="1" x14ac:dyDescent="0.2">
      <c r="A10" s="18">
        <f t="shared" ca="1" si="3"/>
        <v>0.77064758876362949</v>
      </c>
      <c r="B10" s="13">
        <f t="shared" ca="1" si="4"/>
        <v>16</v>
      </c>
      <c r="C10" s="13">
        <f t="shared" ca="1" si="5"/>
        <v>8</v>
      </c>
      <c r="D10" s="18">
        <f t="shared" ca="1" si="0"/>
        <v>1.3019838362902346E-2</v>
      </c>
      <c r="E10" s="13">
        <f t="shared" ca="1" si="1"/>
        <v>1</v>
      </c>
      <c r="F10" s="13">
        <f t="shared" ca="1" si="2"/>
        <v>0</v>
      </c>
    </row>
    <row r="11" spans="1:6" s="11" customFormat="1" x14ac:dyDescent="0.2">
      <c r="A11" s="18">
        <f t="shared" ca="1" si="3"/>
        <v>0.78366742712653181</v>
      </c>
      <c r="B11" s="13">
        <f t="shared" ca="1" si="4"/>
        <v>15</v>
      </c>
      <c r="C11" s="13">
        <f t="shared" ca="1" si="5"/>
        <v>8</v>
      </c>
      <c r="D11" s="18">
        <f t="shared" ca="1" si="0"/>
        <v>8.6578997793480428E-3</v>
      </c>
      <c r="E11" s="13">
        <f t="shared" ca="1" si="1"/>
        <v>0</v>
      </c>
      <c r="F11" s="13">
        <f t="shared" ca="1" si="2"/>
        <v>1</v>
      </c>
    </row>
    <row r="12" spans="1:6" s="11" customFormat="1" x14ac:dyDescent="0.2">
      <c r="A12" s="18">
        <f t="shared" ca="1" si="3"/>
        <v>0.79232532690587987</v>
      </c>
      <c r="B12" s="13">
        <f t="shared" ca="1" si="4"/>
        <v>15</v>
      </c>
      <c r="C12" s="13">
        <f t="shared" ca="1" si="5"/>
        <v>7</v>
      </c>
      <c r="D12" s="18">
        <f t="shared" ca="1" si="0"/>
        <v>0.10310447061434207</v>
      </c>
      <c r="E12" s="13">
        <f t="shared" ca="1" si="1"/>
        <v>0</v>
      </c>
      <c r="F12" s="13">
        <f t="shared" ca="1" si="2"/>
        <v>1</v>
      </c>
    </row>
    <row r="13" spans="1:6" s="11" customFormat="1" x14ac:dyDescent="0.2">
      <c r="A13" s="18">
        <f t="shared" ca="1" si="3"/>
        <v>0.89542979752022189</v>
      </c>
      <c r="B13" s="13">
        <f t="shared" ca="1" si="4"/>
        <v>15</v>
      </c>
      <c r="C13" s="13">
        <f t="shared" ca="1" si="5"/>
        <v>6</v>
      </c>
      <c r="D13" s="18">
        <f t="shared" ca="1" si="0"/>
        <v>7.0187703946197971E-2</v>
      </c>
      <c r="E13" s="13">
        <f t="shared" ca="1" si="1"/>
        <v>1</v>
      </c>
      <c r="F13" s="13">
        <f t="shared" ca="1" si="2"/>
        <v>0</v>
      </c>
    </row>
    <row r="14" spans="1:6" s="11" customFormat="1" x14ac:dyDescent="0.2">
      <c r="A14" s="18">
        <f t="shared" ca="1" si="3"/>
        <v>0.96561750146641989</v>
      </c>
      <c r="B14" s="13">
        <f t="shared" ca="1" si="4"/>
        <v>14</v>
      </c>
      <c r="C14" s="13">
        <f t="shared" ca="1" si="5"/>
        <v>6</v>
      </c>
      <c r="D14" s="18">
        <f t="shared" ca="1" si="0"/>
        <v>0.43570150918295514</v>
      </c>
      <c r="E14" s="13">
        <f t="shared" ca="1" si="1"/>
        <v>0</v>
      </c>
      <c r="F14" s="13">
        <f t="shared" ca="1" si="2"/>
        <v>1</v>
      </c>
    </row>
    <row r="15" spans="1:6" s="11" customFormat="1" x14ac:dyDescent="0.2">
      <c r="A15" s="18">
        <f t="shared" ca="1" si="3"/>
        <v>1.4013190106493751</v>
      </c>
      <c r="B15" s="13">
        <f t="shared" ca="1" si="4"/>
        <v>14</v>
      </c>
      <c r="C15" s="13">
        <f t="shared" ca="1" si="5"/>
        <v>5</v>
      </c>
      <c r="D15" s="18">
        <f t="shared" ca="1" si="0"/>
        <v>2.4335797412301775E-2</v>
      </c>
      <c r="E15" s="13">
        <f t="shared" ca="1" si="1"/>
        <v>1</v>
      </c>
      <c r="F15" s="13">
        <f t="shared" ca="1" si="2"/>
        <v>0</v>
      </c>
    </row>
    <row r="16" spans="1:6" s="11" customFormat="1" x14ac:dyDescent="0.2">
      <c r="A16" s="18">
        <f t="shared" ca="1" si="3"/>
        <v>1.4256548080616769</v>
      </c>
      <c r="B16" s="13">
        <f t="shared" ca="1" si="4"/>
        <v>13</v>
      </c>
      <c r="C16" s="13">
        <f t="shared" ca="1" si="5"/>
        <v>5</v>
      </c>
      <c r="D16" s="18">
        <f t="shared" ca="1" si="0"/>
        <v>0.26097101307437359</v>
      </c>
      <c r="E16" s="13">
        <f t="shared" ca="1" si="1"/>
        <v>0</v>
      </c>
      <c r="F16" s="13">
        <f t="shared" ca="1" si="2"/>
        <v>1</v>
      </c>
    </row>
    <row r="17" spans="1:13" s="11" customFormat="1" x14ac:dyDescent="0.2">
      <c r="A17" s="18">
        <f t="shared" ca="1" si="3"/>
        <v>1.6866258211360505</v>
      </c>
      <c r="B17" s="13">
        <f t="shared" ca="1" si="4"/>
        <v>13</v>
      </c>
      <c r="C17" s="13">
        <f t="shared" ca="1" si="5"/>
        <v>4</v>
      </c>
      <c r="D17" s="18">
        <f t="shared" ca="1" si="0"/>
        <v>1.2643553390832312</v>
      </c>
      <c r="E17" s="13">
        <f t="shared" ca="1" si="1"/>
        <v>1</v>
      </c>
      <c r="F17" s="13">
        <f t="shared" ca="1" si="2"/>
        <v>0</v>
      </c>
    </row>
    <row r="18" spans="1:13" s="11" customFormat="1" x14ac:dyDescent="0.2">
      <c r="A18" s="18">
        <f t="shared" ca="1" si="3"/>
        <v>2.9509811602192819</v>
      </c>
      <c r="B18" s="13">
        <f t="shared" ca="1" si="4"/>
        <v>12</v>
      </c>
      <c r="C18" s="13">
        <f t="shared" ca="1" si="5"/>
        <v>4</v>
      </c>
      <c r="D18" s="18">
        <f t="shared" ca="1" si="0"/>
        <v>1.3648640652167561E-2</v>
      </c>
      <c r="E18" s="13">
        <f t="shared" ca="1" si="1"/>
        <v>1</v>
      </c>
      <c r="F18" s="13">
        <f t="shared" ca="1" si="2"/>
        <v>0</v>
      </c>
    </row>
    <row r="19" spans="1:13" s="11" customFormat="1" x14ac:dyDescent="0.2">
      <c r="A19" s="18">
        <f t="shared" ca="1" si="3"/>
        <v>2.9646298008714496</v>
      </c>
      <c r="B19" s="13">
        <f t="shared" ca="1" si="4"/>
        <v>11</v>
      </c>
      <c r="C19" s="13">
        <f t="shared" ca="1" si="5"/>
        <v>4</v>
      </c>
      <c r="D19" s="18">
        <f t="shared" ca="1" si="0"/>
        <v>0.36752840305451123</v>
      </c>
      <c r="E19" s="13">
        <f t="shared" ca="1" si="1"/>
        <v>1</v>
      </c>
      <c r="F19" s="13">
        <f t="shared" ca="1" si="2"/>
        <v>0</v>
      </c>
    </row>
    <row r="20" spans="1:13" s="11" customFormat="1" x14ac:dyDescent="0.2">
      <c r="A20" s="18">
        <f t="shared" ca="1" si="3"/>
        <v>3.3321582039259607</v>
      </c>
      <c r="B20" s="13">
        <f t="shared" ca="1" si="4"/>
        <v>10</v>
      </c>
      <c r="C20" s="13">
        <f t="shared" ca="1" si="5"/>
        <v>4</v>
      </c>
      <c r="D20" s="18">
        <f t="shared" ca="1" si="0"/>
        <v>0.95948392049842557</v>
      </c>
      <c r="E20" s="13">
        <f t="shared" ca="1" si="1"/>
        <v>0</v>
      </c>
      <c r="F20" s="13">
        <f t="shared" ca="1" si="2"/>
        <v>1</v>
      </c>
    </row>
    <row r="21" spans="1:13" s="11" customFormat="1" x14ac:dyDescent="0.2">
      <c r="A21" s="18">
        <f t="shared" ca="1" si="3"/>
        <v>4.2916421244243868</v>
      </c>
      <c r="B21" s="13">
        <f t="shared" ca="1" si="4"/>
        <v>10</v>
      </c>
      <c r="C21" s="13">
        <f t="shared" ca="1" si="5"/>
        <v>3</v>
      </c>
      <c r="D21" s="18">
        <f t="shared" ca="1" si="0"/>
        <v>2.1000879673780851E-2</v>
      </c>
      <c r="E21" s="13">
        <f t="shared" ca="1" si="1"/>
        <v>1</v>
      </c>
      <c r="F21" s="13">
        <f t="shared" ca="1" si="2"/>
        <v>0</v>
      </c>
    </row>
    <row r="22" spans="1:13" s="11" customFormat="1" x14ac:dyDescent="0.2">
      <c r="A22" s="18">
        <f t="shared" ca="1" si="3"/>
        <v>4.3126430040981676</v>
      </c>
      <c r="B22" s="13">
        <f t="shared" ca="1" si="4"/>
        <v>9</v>
      </c>
      <c r="C22" s="13">
        <f t="shared" ca="1" si="5"/>
        <v>3</v>
      </c>
      <c r="D22" s="18">
        <f t="shared" ca="1" si="0"/>
        <v>1.1506677355185408</v>
      </c>
      <c r="E22" s="13">
        <f t="shared" ca="1" si="1"/>
        <v>1</v>
      </c>
      <c r="F22" s="13">
        <f t="shared" ca="1" si="2"/>
        <v>0</v>
      </c>
    </row>
    <row r="23" spans="1:13" s="11" customFormat="1" x14ac:dyDescent="0.2">
      <c r="A23" s="18">
        <f t="shared" ca="1" si="3"/>
        <v>5.4633107396167082</v>
      </c>
      <c r="B23" s="13">
        <f t="shared" ca="1" si="4"/>
        <v>8</v>
      </c>
      <c r="C23" s="13">
        <f t="shared" ca="1" si="5"/>
        <v>3</v>
      </c>
      <c r="D23" s="18">
        <f t="shared" ca="1" si="0"/>
        <v>0.164475089582796</v>
      </c>
      <c r="E23" s="13">
        <f t="shared" ca="1" si="1"/>
        <v>1</v>
      </c>
      <c r="F23" s="13">
        <f t="shared" ca="1" si="2"/>
        <v>0</v>
      </c>
    </row>
    <row r="24" spans="1:13" s="11" customFormat="1" x14ac:dyDescent="0.2">
      <c r="A24" s="18">
        <f t="shared" ca="1" si="3"/>
        <v>5.627785829199504</v>
      </c>
      <c r="B24" s="13">
        <f t="shared" ca="1" si="4"/>
        <v>7</v>
      </c>
      <c r="C24" s="13">
        <f t="shared" ca="1" si="5"/>
        <v>3</v>
      </c>
      <c r="D24" s="18">
        <f t="shared" ca="1" si="0"/>
        <v>0.11112030182288785</v>
      </c>
      <c r="E24" s="13">
        <f t="shared" ca="1" si="1"/>
        <v>0</v>
      </c>
      <c r="F24" s="13">
        <f t="shared" ca="1" si="2"/>
        <v>1</v>
      </c>
    </row>
    <row r="25" spans="1:13" s="11" customFormat="1" x14ac:dyDescent="0.2">
      <c r="A25" s="18">
        <f t="shared" ca="1" si="3"/>
        <v>5.7389061310223921</v>
      </c>
      <c r="B25" s="13">
        <f t="shared" ca="1" si="4"/>
        <v>7</v>
      </c>
      <c r="C25" s="13">
        <f t="shared" ca="1" si="5"/>
        <v>2</v>
      </c>
      <c r="D25" s="18">
        <f t="shared" ca="1" si="0"/>
        <v>1.0327906254389445</v>
      </c>
      <c r="E25" s="13">
        <f t="shared" ca="1" si="1"/>
        <v>0</v>
      </c>
      <c r="F25" s="13">
        <f t="shared" ca="1" si="2"/>
        <v>1</v>
      </c>
      <c r="G25" s="1" t="s">
        <v>16</v>
      </c>
      <c r="H25" s="1"/>
      <c r="I25" s="1" t="s">
        <v>17</v>
      </c>
      <c r="J25" s="1" t="s">
        <v>18</v>
      </c>
      <c r="K25" s="1" t="s">
        <v>19</v>
      </c>
      <c r="L25" s="1" t="s">
        <v>20</v>
      </c>
      <c r="M25" s="1" t="s">
        <v>21</v>
      </c>
    </row>
    <row r="26" spans="1:13" s="11" customFormat="1" x14ac:dyDescent="0.2">
      <c r="A26" s="18">
        <f t="shared" ca="1" si="3"/>
        <v>6.7716967564613366</v>
      </c>
      <c r="B26" s="13">
        <f t="shared" ca="1" si="4"/>
        <v>7</v>
      </c>
      <c r="C26" s="13">
        <f t="shared" ca="1" si="5"/>
        <v>1</v>
      </c>
      <c r="D26" s="18">
        <f t="shared" ca="1" si="0"/>
        <v>1.9508758381307409</v>
      </c>
      <c r="E26" s="13">
        <f t="shared" ca="1" si="1"/>
        <v>0</v>
      </c>
      <c r="F26" s="13">
        <f t="shared" ca="1" si="2"/>
        <v>1</v>
      </c>
      <c r="G26" s="1" t="s">
        <v>24</v>
      </c>
      <c r="I26" s="20">
        <f>IF('Deterministic (Exact)'!E4=999,"Infinity",'Deterministic (Exact)'!E4)</f>
        <v>6.4561341144600597</v>
      </c>
      <c r="J26" s="11" t="str">
        <f>IF(B4/C4=SQRT(B2/C2),"Draw",IF(B4/C4&gt;SQRT(B2/C2),"Yes","No"))</f>
        <v>No</v>
      </c>
      <c r="K26" s="11" t="str">
        <f>IF(B4/C4=SQRT(B2/C2),"Draw",IF(B4/C4&lt;SQRT(B2/C2),"Yes","No"))</f>
        <v>Yes</v>
      </c>
      <c r="L26" s="15">
        <f>'Deterministic (Exact)'!B34</f>
        <v>-8.8817841970012523E-16</v>
      </c>
      <c r="M26" s="15">
        <f>'Deterministic (Exact)'!C34</f>
        <v>4.4721359549995787</v>
      </c>
    </row>
    <row r="27" spans="1:13" s="11" customFormat="1" x14ac:dyDescent="0.2">
      <c r="A27" s="18">
        <f t="shared" ca="1" si="3"/>
        <v>8.7225725945920782</v>
      </c>
      <c r="B27" s="13">
        <f t="shared" ca="1" si="4"/>
        <v>7</v>
      </c>
      <c r="C27" s="13">
        <f t="shared" ca="1" si="5"/>
        <v>0</v>
      </c>
      <c r="D27" s="18">
        <f t="shared" ca="1" si="0"/>
        <v>1.6813368434644911</v>
      </c>
      <c r="E27" s="13">
        <f t="shared" ca="1" si="1"/>
        <v>0</v>
      </c>
      <c r="F27" s="13">
        <f t="shared" ca="1" si="2"/>
        <v>1</v>
      </c>
      <c r="G27" s="1" t="s">
        <v>22</v>
      </c>
      <c r="I27" s="14">
        <f ca="1">A34</f>
        <v>8.7225725945920782</v>
      </c>
      <c r="J27" s="11" t="str">
        <f ca="1">IF(L27&gt;0,"Yes","No")</f>
        <v>Yes</v>
      </c>
      <c r="K27" s="11" t="str">
        <f ca="1">IF(M27&gt;0,"Yes","No")</f>
        <v>No</v>
      </c>
      <c r="L27" s="16">
        <f ca="1">B34</f>
        <v>7</v>
      </c>
      <c r="M27" s="16">
        <f ca="1">C34</f>
        <v>0</v>
      </c>
    </row>
    <row r="28" spans="1:13" s="11" customFormat="1" x14ac:dyDescent="0.2">
      <c r="A28" s="18">
        <f t="shared" ca="1" si="3"/>
        <v>8.7225725945920782</v>
      </c>
      <c r="B28" s="13">
        <f t="shared" ca="1" si="4"/>
        <v>7</v>
      </c>
      <c r="C28" s="13">
        <f t="shared" ca="1" si="5"/>
        <v>0</v>
      </c>
      <c r="D28" s="18">
        <f t="shared" ca="1" si="0"/>
        <v>0.39339301350602685</v>
      </c>
      <c r="E28" s="13">
        <f t="shared" ca="1" si="1"/>
        <v>0</v>
      </c>
      <c r="F28" s="13">
        <f t="shared" ca="1" si="2"/>
        <v>1</v>
      </c>
      <c r="G28" s="1" t="s">
        <v>23</v>
      </c>
      <c r="I28" s="14">
        <f>AVERAGE('Data Collection'!A:A)</f>
        <v>5.8546728482384989</v>
      </c>
      <c r="J28" s="17">
        <f>COUNTIF('Data Collection'!B:B,"&gt;0")/COUNT('Data Collection'!B:B)</f>
        <v>0.28599999999999998</v>
      </c>
      <c r="K28" s="17">
        <f>COUNTIF('Data Collection'!C:C,"&gt;0")/COUNT('Data Collection'!C:C)</f>
        <v>0.71399999999999997</v>
      </c>
      <c r="L28" s="15">
        <f>AVERAGE('Data Collection'!B:B)</f>
        <v>2.67</v>
      </c>
      <c r="M28" s="15">
        <f>AVERAGE('Data Collection'!C:C)</f>
        <v>4.3109999999999999</v>
      </c>
    </row>
    <row r="29" spans="1:13" s="11" customFormat="1" x14ac:dyDescent="0.2">
      <c r="A29" s="18">
        <f t="shared" ca="1" si="3"/>
        <v>8.7225725945920782</v>
      </c>
      <c r="B29" s="13">
        <f t="shared" ca="1" si="4"/>
        <v>7</v>
      </c>
      <c r="C29" s="13">
        <f t="shared" ca="1" si="5"/>
        <v>0</v>
      </c>
      <c r="D29" s="18">
        <f t="shared" ca="1" si="0"/>
        <v>2.6655583802505474</v>
      </c>
      <c r="E29" s="13">
        <f t="shared" ca="1" si="1"/>
        <v>0</v>
      </c>
      <c r="F29" s="13">
        <f t="shared" ca="1" si="2"/>
        <v>1</v>
      </c>
    </row>
    <row r="30" spans="1:13" s="11" customFormat="1" x14ac:dyDescent="0.2">
      <c r="A30" s="18">
        <f t="shared" ca="1" si="3"/>
        <v>8.7225725945920782</v>
      </c>
      <c r="B30" s="13">
        <f t="shared" ca="1" si="4"/>
        <v>7</v>
      </c>
      <c r="C30" s="13">
        <f t="shared" ca="1" si="5"/>
        <v>0</v>
      </c>
      <c r="D30" s="18">
        <f t="shared" ca="1" si="0"/>
        <v>0.31183770787743598</v>
      </c>
      <c r="E30" s="13">
        <f t="shared" ca="1" si="1"/>
        <v>0</v>
      </c>
      <c r="F30" s="13">
        <f t="shared" ca="1" si="2"/>
        <v>1</v>
      </c>
      <c r="G30"/>
      <c r="H30"/>
      <c r="I30" t="s">
        <v>27</v>
      </c>
      <c r="J30"/>
      <c r="K30"/>
      <c r="L30"/>
      <c r="M30"/>
    </row>
    <row r="31" spans="1:13" x14ac:dyDescent="0.2">
      <c r="A31" s="18">
        <f t="shared" ca="1" si="3"/>
        <v>8.7225725945920782</v>
      </c>
      <c r="B31" s="13">
        <f t="shared" ca="1" si="4"/>
        <v>7</v>
      </c>
      <c r="C31" s="13">
        <f t="shared" ca="1" si="5"/>
        <v>0</v>
      </c>
      <c r="D31" s="18">
        <f t="shared" ca="1" si="0"/>
        <v>1.4002822113740645</v>
      </c>
      <c r="E31" s="13">
        <f t="shared" ca="1" si="1"/>
        <v>0</v>
      </c>
      <c r="F31" s="13">
        <f t="shared" ca="1" si="2"/>
        <v>1</v>
      </c>
    </row>
    <row r="32" spans="1:13" x14ac:dyDescent="0.2">
      <c r="A32" s="18">
        <f t="shared" ca="1" si="3"/>
        <v>8.7225725945920782</v>
      </c>
      <c r="B32" s="13">
        <f t="shared" ca="1" si="4"/>
        <v>7</v>
      </c>
      <c r="C32" s="13">
        <f t="shared" ca="1" si="5"/>
        <v>0</v>
      </c>
      <c r="D32" s="18">
        <f t="shared" ca="1" si="0"/>
        <v>0.31007923941305804</v>
      </c>
      <c r="E32" s="13">
        <f t="shared" ca="1" si="1"/>
        <v>0</v>
      </c>
      <c r="F32" s="13">
        <f t="shared" ca="1" si="2"/>
        <v>1</v>
      </c>
    </row>
    <row r="33" spans="1:6" x14ac:dyDescent="0.2">
      <c r="A33" s="18">
        <f t="shared" ca="1" si="3"/>
        <v>8.7225725945920782</v>
      </c>
      <c r="B33" s="13">
        <f t="shared" ca="1" si="4"/>
        <v>7</v>
      </c>
      <c r="C33" s="13">
        <f t="shared" ca="1" si="5"/>
        <v>0</v>
      </c>
      <c r="D33" s="18">
        <f t="shared" ca="1" si="0"/>
        <v>2.9982894585066604</v>
      </c>
      <c r="E33" s="13">
        <f t="shared" ca="1" si="1"/>
        <v>0</v>
      </c>
      <c r="F33" s="13">
        <f t="shared" ca="1" si="2"/>
        <v>1</v>
      </c>
    </row>
    <row r="34" spans="1:6" x14ac:dyDescent="0.2">
      <c r="A34" s="18">
        <f t="shared" ca="1" si="3"/>
        <v>8.7225725945920782</v>
      </c>
      <c r="B34" s="13">
        <f t="shared" ca="1" si="4"/>
        <v>7</v>
      </c>
      <c r="C34" s="13">
        <f t="shared" ca="1" si="5"/>
        <v>0</v>
      </c>
      <c r="D34" s="18">
        <f t="shared" ca="1" si="0"/>
        <v>1.8333128834142778</v>
      </c>
      <c r="E34" s="13">
        <f t="shared" ca="1" si="1"/>
        <v>0</v>
      </c>
      <c r="F34" s="13">
        <f t="shared" ca="1" si="2"/>
        <v>1</v>
      </c>
    </row>
  </sheetData>
  <mergeCells count="1">
    <mergeCell ref="E1:F1"/>
  </mergeCells>
  <phoneticPr fontId="2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Replicate">
                <anchor moveWithCells="1" sizeWithCells="1">
                  <from>
                    <xdr:col>6</xdr:col>
                    <xdr:colOff>0</xdr:colOff>
                    <xdr:row>28</xdr:row>
                    <xdr:rowOff>9525</xdr:rowOff>
                  </from>
                  <to>
                    <xdr:col>7</xdr:col>
                    <xdr:colOff>600075</xdr:colOff>
                    <xdr:row>29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34"/>
  <sheetViews>
    <sheetView zoomScale="115" workbookViewId="0">
      <selection activeCell="O30" sqref="O30"/>
    </sheetView>
  </sheetViews>
  <sheetFormatPr defaultRowHeight="12.75" x14ac:dyDescent="0.2"/>
  <cols>
    <col min="1" max="1" width="9.140625" style="4"/>
    <col min="4" max="4" width="9.140625" style="4"/>
    <col min="5" max="5" width="10" style="4" bestFit="1" customWidth="1"/>
  </cols>
  <sheetData>
    <row r="1" spans="1:5" x14ac:dyDescent="0.2">
      <c r="A1" s="2"/>
      <c r="B1" s="3" t="s">
        <v>0</v>
      </c>
      <c r="C1" s="3" t="s">
        <v>1</v>
      </c>
      <c r="D1" s="19" t="s">
        <v>25</v>
      </c>
    </row>
    <row r="2" spans="1:5" x14ac:dyDescent="0.2">
      <c r="B2" s="3">
        <f>Stochastic!B2</f>
        <v>0.5</v>
      </c>
      <c r="C2" s="3">
        <f>Stochastic!C2</f>
        <v>0.1</v>
      </c>
    </row>
    <row r="3" spans="1:5" x14ac:dyDescent="0.2">
      <c r="A3" s="3" t="s">
        <v>4</v>
      </c>
      <c r="B3" s="6" t="s">
        <v>2</v>
      </c>
      <c r="C3" s="6" t="s">
        <v>3</v>
      </c>
      <c r="D3" s="3" t="s">
        <v>26</v>
      </c>
      <c r="E3" s="3" t="s">
        <v>17</v>
      </c>
    </row>
    <row r="4" spans="1:5" x14ac:dyDescent="0.2">
      <c r="A4" s="3">
        <v>0</v>
      </c>
      <c r="B4" s="8">
        <f>Stochastic!B4</f>
        <v>20</v>
      </c>
      <c r="C4" s="8">
        <f>Stochastic!C4</f>
        <v>10</v>
      </c>
      <c r="D4" s="4" t="str">
        <f>IF(B4/C4&gt;SQRT(B2/C2),"X","Y")</f>
        <v>Y</v>
      </c>
      <c r="E4" s="4">
        <f>IF(B4/C4=SQRT(B2/C2),999,IF(B4/C4&gt;SQRT(B2/C2),LN((SQRT(C2/B2)*B4+C4)/(SQRT(C2/B2)*B4-C4))/(2*SQRT(B2*C2)),LN((SQRT(B2/C2)*C4+B4)/(SQRT(B2/C2)*C4-B4))/(2*SQRT(B2*C2))))</f>
        <v>6.4561341144600597</v>
      </c>
    </row>
    <row r="5" spans="1:5" x14ac:dyDescent="0.2">
      <c r="A5" s="5">
        <f>A4+MIN(1,$E$4/30)</f>
        <v>0.215204470482002</v>
      </c>
      <c r="B5" s="5">
        <f>(($B$4-SQRT($B$2/$C$2)*$C$4)*EXP(SQRT($B$2*$C$2)*$A5)+($B$4+SQRT($B$2/$C$2)*$C$4)*EXP(-SQRT($B$2*$C$2)*$A5))/2</f>
        <v>18.946723268891581</v>
      </c>
      <c r="C5" s="5">
        <f>(($C$4-SQRT($C$2/$B$2)*$B$4)*EXP(SQRT($B$2*$C$2)*$A5)+($C$4+SQRT($C$2/$B$2)*$B$4)*EXP(-SQRT($B$2*$C$2)*$A5))/2</f>
        <v>9.5810054026491152</v>
      </c>
    </row>
    <row r="6" spans="1:5" x14ac:dyDescent="0.2">
      <c r="A6" s="5">
        <f t="shared" ref="A6:A33" si="0">A5+MIN(1,$E$4/30)</f>
        <v>0.43040894096400401</v>
      </c>
      <c r="B6" s="5">
        <f t="shared" ref="B6:B34" si="1">(($B$4-SQRT($B$2/$C$2)*$C$4)*EXP(SQRT($B$2*$C$2)*$A6)+($B$4+SQRT($B$2/$C$2)*$C$4)*EXP(-SQRT($B$2*$C$2)*$A6))/2</f>
        <v>17.937328950564876</v>
      </c>
      <c r="C6" s="5">
        <f t="shared" ref="C6:C34" si="2">(($C$4-SQRT($C$2/$B$2)*$B$4)*EXP(SQRT($B$2*$C$2)*$A6)+($C$4+SQRT($C$2/$B$2)*$B$4)*EXP(-SQRT($B$2*$C$2)*$A6))/2</f>
        <v>9.1842013248923582</v>
      </c>
    </row>
    <row r="7" spans="1:5" x14ac:dyDescent="0.2">
      <c r="A7" s="5">
        <f t="shared" si="0"/>
        <v>0.64561341144600604</v>
      </c>
      <c r="B7" s="5">
        <f t="shared" si="1"/>
        <v>16.969479191792821</v>
      </c>
      <c r="C7" s="5">
        <f t="shared" si="2"/>
        <v>8.8086687307525597</v>
      </c>
    </row>
    <row r="8" spans="1:5" x14ac:dyDescent="0.2">
      <c r="A8" s="5">
        <f t="shared" si="0"/>
        <v>0.86081788192800801</v>
      </c>
      <c r="B8" s="5">
        <f t="shared" si="1"/>
        <v>16.040932360498871</v>
      </c>
      <c r="C8" s="5">
        <f t="shared" si="2"/>
        <v>8.4535378510313635</v>
      </c>
    </row>
    <row r="9" spans="1:5" x14ac:dyDescent="0.2">
      <c r="A9" s="5">
        <f t="shared" si="0"/>
        <v>1.0760223524100101</v>
      </c>
      <c r="B9" s="5">
        <f t="shared" si="1"/>
        <v>15.149537853923917</v>
      </c>
      <c r="C9" s="5">
        <f t="shared" si="2"/>
        <v>8.1179861688410586</v>
      </c>
    </row>
    <row r="10" spans="1:5" x14ac:dyDescent="0.2">
      <c r="A10" s="5">
        <f t="shared" si="0"/>
        <v>1.2912268228920121</v>
      </c>
      <c r="B10" s="5">
        <f t="shared" si="1"/>
        <v>14.293231117625824</v>
      </c>
      <c r="C10" s="5">
        <f t="shared" si="2"/>
        <v>7.8012365145772513</v>
      </c>
    </row>
    <row r="11" spans="1:5" x14ac:dyDescent="0.2">
      <c r="A11" s="5">
        <f t="shared" si="0"/>
        <v>1.506431293374014</v>
      </c>
      <c r="B11" s="5">
        <f t="shared" si="1"/>
        <v>13.470028863774985</v>
      </c>
      <c r="C11" s="5">
        <f t="shared" si="2"/>
        <v>7.5025552659201553</v>
      </c>
    </row>
    <row r="12" spans="1:5" x14ac:dyDescent="0.2">
      <c r="A12" s="5">
        <f t="shared" si="0"/>
        <v>1.721635763856016</v>
      </c>
      <c r="B12" s="5">
        <f t="shared" si="1"/>
        <v>12.678024477671141</v>
      </c>
      <c r="C12" s="5">
        <f t="shared" si="2"/>
        <v>7.2212506486955359</v>
      </c>
    </row>
    <row r="13" spans="1:5" x14ac:dyDescent="0.2">
      <c r="A13" s="5">
        <f t="shared" si="0"/>
        <v>1.936840234338018</v>
      </c>
      <c r="B13" s="5">
        <f t="shared" si="1"/>
        <v>11.915383601842407</v>
      </c>
      <c r="C13" s="5">
        <f t="shared" si="2"/>
        <v>6.9566711346599517</v>
      </c>
    </row>
    <row r="14" spans="1:5" x14ac:dyDescent="0.2">
      <c r="A14" s="5">
        <f t="shared" si="0"/>
        <v>2.1520447048200202</v>
      </c>
      <c r="B14" s="5">
        <f t="shared" si="1"/>
        <v>11.180339887498949</v>
      </c>
      <c r="C14" s="5">
        <f t="shared" si="2"/>
        <v>6.7082039324993694</v>
      </c>
    </row>
    <row r="15" spans="1:5" x14ac:dyDescent="0.2">
      <c r="A15" s="5">
        <f t="shared" si="0"/>
        <v>2.3672491753020224</v>
      </c>
      <c r="B15" s="5">
        <f t="shared" si="1"/>
        <v>10.471190903501219</v>
      </c>
      <c r="C15" s="5">
        <f t="shared" si="2"/>
        <v>6.475273568546223</v>
      </c>
    </row>
    <row r="16" spans="1:5" x14ac:dyDescent="0.2">
      <c r="A16" s="5">
        <f t="shared" si="0"/>
        <v>2.5824536457840246</v>
      </c>
      <c r="B16" s="5">
        <f t="shared" si="1"/>
        <v>9.7862941933675387</v>
      </c>
      <c r="C16" s="5">
        <f t="shared" si="2"/>
        <v>6.2573405539276701</v>
      </c>
    </row>
    <row r="17" spans="1:3" x14ac:dyDescent="0.2">
      <c r="A17" s="5">
        <f t="shared" si="0"/>
        <v>2.7976581162660268</v>
      </c>
      <c r="B17" s="5">
        <f t="shared" si="1"/>
        <v>9.124063471188709</v>
      </c>
      <c r="C17" s="5">
        <f t="shared" si="2"/>
        <v>6.053900135058063</v>
      </c>
    </row>
    <row r="18" spans="1:3" x14ac:dyDescent="0.2">
      <c r="A18" s="5">
        <f t="shared" si="0"/>
        <v>3.012862586748029</v>
      </c>
      <c r="B18" s="5">
        <f t="shared" si="1"/>
        <v>8.4829649476390045</v>
      </c>
      <c r="C18" s="5">
        <f t="shared" si="2"/>
        <v>5.8644811245816459</v>
      </c>
    </row>
    <row r="19" spans="1:3" x14ac:dyDescent="0.2">
      <c r="A19" s="5">
        <f t="shared" si="0"/>
        <v>3.2280670572300312</v>
      </c>
      <c r="B19" s="5">
        <f t="shared" si="1"/>
        <v>7.8615137775742294</v>
      </c>
      <c r="C19" s="5">
        <f t="shared" si="2"/>
        <v>5.6886448100578306</v>
      </c>
    </row>
    <row r="20" spans="1:3" x14ac:dyDescent="0.2">
      <c r="A20" s="5">
        <f t="shared" si="0"/>
        <v>3.4432715277120334</v>
      </c>
      <c r="B20" s="5">
        <f t="shared" si="1"/>
        <v>7.2582706209891814</v>
      </c>
      <c r="C20" s="5">
        <f t="shared" si="2"/>
        <v>5.5259839378614686</v>
      </c>
    </row>
    <row r="21" spans="1:3" x14ac:dyDescent="0.2">
      <c r="A21" s="5">
        <f t="shared" si="0"/>
        <v>3.6584759981940356</v>
      </c>
      <c r="B21" s="5">
        <f t="shared" si="1"/>
        <v>6.6718383093693179</v>
      </c>
      <c r="C21" s="5">
        <f t="shared" si="2"/>
        <v>5.3761217699447252</v>
      </c>
    </row>
    <row r="22" spans="1:3" x14ac:dyDescent="0.2">
      <c r="A22" s="5">
        <f t="shared" si="0"/>
        <v>3.8736804686760378</v>
      </c>
      <c r="B22" s="5">
        <f t="shared" si="1"/>
        <v>6.1008586097156243</v>
      </c>
      <c r="C22" s="5">
        <f t="shared" si="2"/>
        <v>5.238711211275942</v>
      </c>
    </row>
    <row r="23" spans="1:3" x14ac:dyDescent="0.2">
      <c r="A23" s="5">
        <f t="shared" si="0"/>
        <v>4.0888849391580395</v>
      </c>
      <c r="B23" s="5">
        <f t="shared" si="1"/>
        <v>5.5440090787478287</v>
      </c>
      <c r="C23" s="5">
        <f t="shared" si="2"/>
        <v>5.1134340059345309</v>
      </c>
    </row>
    <row r="24" spans="1:3" x14ac:dyDescent="0.2">
      <c r="A24" s="5">
        <f t="shared" si="0"/>
        <v>4.3040894096400413</v>
      </c>
      <c r="B24" s="5">
        <f t="shared" si="1"/>
        <v>4.9999999999999964</v>
      </c>
      <c r="C24" s="5">
        <f t="shared" si="2"/>
        <v>4.9999999999999991</v>
      </c>
    </row>
    <row r="25" spans="1:3" x14ac:dyDescent="0.2">
      <c r="A25" s="5">
        <f t="shared" si="0"/>
        <v>4.519293880122043</v>
      </c>
      <c r="B25" s="5">
        <f t="shared" si="1"/>
        <v>4.4675713967145807</v>
      </c>
      <c r="C25" s="5">
        <f t="shared" si="2"/>
        <v>4.898146469527882</v>
      </c>
    </row>
    <row r="26" spans="1:3" x14ac:dyDescent="0.2">
      <c r="A26" s="5">
        <f t="shared" si="0"/>
        <v>4.7344983506040448</v>
      </c>
      <c r="B26" s="5">
        <f t="shared" si="1"/>
        <v>3.9454901136164131</v>
      </c>
      <c r="C26" s="5">
        <f t="shared" si="2"/>
        <v>4.8076375120561003</v>
      </c>
    </row>
    <row r="27" spans="1:3" x14ac:dyDescent="0.2">
      <c r="A27" s="5">
        <f t="shared" si="0"/>
        <v>4.9497028210860465</v>
      </c>
      <c r="B27" s="5">
        <f t="shared" si="1"/>
        <v>3.4325469608078301</v>
      </c>
      <c r="C27" s="5">
        <f t="shared" si="2"/>
        <v>4.728263500232428</v>
      </c>
    </row>
    <row r="28" spans="1:3" x14ac:dyDescent="0.2">
      <c r="A28" s="5">
        <f t="shared" si="0"/>
        <v>5.1649072915680483</v>
      </c>
      <c r="B28" s="5">
        <f t="shared" si="1"/>
        <v>2.927553913169894</v>
      </c>
      <c r="C28" s="5">
        <f t="shared" si="2"/>
        <v>4.6598405962976104</v>
      </c>
    </row>
    <row r="29" spans="1:3" x14ac:dyDescent="0.2">
      <c r="A29" s="5">
        <f t="shared" si="0"/>
        <v>5.38011176205005</v>
      </c>
      <c r="B29" s="5">
        <f t="shared" si="1"/>
        <v>2.4293413587832289</v>
      </c>
      <c r="C29" s="5">
        <f t="shared" si="2"/>
        <v>4.6022103262996295</v>
      </c>
    </row>
    <row r="30" spans="1:3" x14ac:dyDescent="0.2">
      <c r="A30" s="5">
        <f t="shared" si="0"/>
        <v>5.5953162325320518</v>
      </c>
      <c r="B30" s="5">
        <f t="shared" si="1"/>
        <v>1.9367553899956054</v>
      </c>
      <c r="C30" s="5">
        <f t="shared" si="2"/>
        <v>4.5552392130529658</v>
      </c>
    </row>
    <row r="31" spans="1:3" x14ac:dyDescent="0.2">
      <c r="A31" s="5">
        <f t="shared" si="0"/>
        <v>5.8105207030140535</v>
      </c>
      <c r="B31" s="5">
        <f t="shared" si="1"/>
        <v>1.4486551308620914</v>
      </c>
      <c r="C31" s="5">
        <f t="shared" si="2"/>
        <v>4.5188184669927391</v>
      </c>
    </row>
    <row r="32" spans="1:3" x14ac:dyDescent="0.2">
      <c r="A32" s="5">
        <f t="shared" si="0"/>
        <v>6.0257251734960553</v>
      </c>
      <c r="B32" s="5">
        <f t="shared" si="1"/>
        <v>0.96391009476786849</v>
      </c>
      <c r="C32" s="5">
        <f t="shared" si="2"/>
        <v>4.4928637342077344</v>
      </c>
    </row>
    <row r="33" spans="1:3" x14ac:dyDescent="0.2">
      <c r="A33" s="5">
        <f t="shared" si="0"/>
        <v>6.2409296439780571</v>
      </c>
      <c r="B33" s="5">
        <f t="shared" si="1"/>
        <v>0.48139756611373041</v>
      </c>
      <c r="C33" s="5">
        <f t="shared" si="2"/>
        <v>4.4773149010687234</v>
      </c>
    </row>
    <row r="34" spans="1:3" x14ac:dyDescent="0.2">
      <c r="A34" s="5">
        <f>E4</f>
        <v>6.4561341144600597</v>
      </c>
      <c r="B34" s="5">
        <f t="shared" si="1"/>
        <v>-8.8817841970012523E-16</v>
      </c>
      <c r="C34" s="5">
        <f t="shared" si="2"/>
        <v>4.4721359549995787</v>
      </c>
    </row>
  </sheetData>
  <phoneticPr fontId="2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DSMT4" shapeId="4097" r:id="rId4">
          <objectPr defaultSize="0" autoPict="0" r:id="rId5">
            <anchor moveWithCells="1" sizeWithCells="1">
              <from>
                <xdr:col>5</xdr:col>
                <xdr:colOff>152400</xdr:colOff>
                <xdr:row>4</xdr:row>
                <xdr:rowOff>76200</xdr:rowOff>
              </from>
              <to>
                <xdr:col>13</xdr:col>
                <xdr:colOff>76200</xdr:colOff>
                <xdr:row>9</xdr:row>
                <xdr:rowOff>28575</xdr:rowOff>
              </to>
            </anchor>
          </objectPr>
        </oleObject>
      </mc:Choice>
      <mc:Fallback>
        <oleObject progId="Equation.DSMT4" shapeId="4097" r:id="rId4"/>
      </mc:Fallback>
    </mc:AlternateContent>
    <mc:AlternateContent xmlns:mc="http://schemas.openxmlformats.org/markup-compatibility/2006">
      <mc:Choice Requires="x14">
        <oleObject progId="Equation.DSMT4" shapeId="4098" r:id="rId6">
          <objectPr defaultSize="0" autoPict="0" r:id="rId7">
            <anchor moveWithCells="1" sizeWithCells="1">
              <from>
                <xdr:col>5</xdr:col>
                <xdr:colOff>152400</xdr:colOff>
                <xdr:row>10</xdr:row>
                <xdr:rowOff>0</xdr:rowOff>
              </from>
              <to>
                <xdr:col>13</xdr:col>
                <xdr:colOff>47625</xdr:colOff>
                <xdr:row>15</xdr:row>
                <xdr:rowOff>104775</xdr:rowOff>
              </to>
            </anchor>
          </objectPr>
        </oleObject>
      </mc:Choice>
      <mc:Fallback>
        <oleObject progId="Equation.DSMT4" shapeId="4098" r:id="rId6"/>
      </mc:Fallback>
    </mc:AlternateContent>
    <mc:AlternateContent xmlns:mc="http://schemas.openxmlformats.org/markup-compatibility/2006">
      <mc:Choice Requires="x14">
        <oleObject progId="Equation.DSMT4" shapeId="4099" r:id="rId8">
          <objectPr defaultSize="0" autoPict="0" r:id="rId9">
            <anchor moveWithCells="1" sizeWithCells="1">
              <from>
                <xdr:col>5</xdr:col>
                <xdr:colOff>133350</xdr:colOff>
                <xdr:row>16</xdr:row>
                <xdr:rowOff>114300</xdr:rowOff>
              </from>
              <to>
                <xdr:col>10</xdr:col>
                <xdr:colOff>114300</xdr:colOff>
                <xdr:row>27</xdr:row>
                <xdr:rowOff>19050</xdr:rowOff>
              </to>
            </anchor>
          </objectPr>
        </oleObject>
      </mc:Choice>
      <mc:Fallback>
        <oleObject progId="Equation.DSMT4" shapeId="4099" r:id="rId8"/>
      </mc:Fallback>
    </mc:AlternateContent>
    <mc:AlternateContent xmlns:mc="http://schemas.openxmlformats.org/markup-compatibility/2006">
      <mc:Choice Requires="x14">
        <oleObject progId="Equation.DSMT4" shapeId="4100" r:id="rId10">
          <objectPr defaultSize="0" autoPict="0" r:id="rId11">
            <anchor moveWithCells="1" sizeWithCells="1">
              <from>
                <xdr:col>5</xdr:col>
                <xdr:colOff>123825</xdr:colOff>
                <xdr:row>27</xdr:row>
                <xdr:rowOff>123825</xdr:rowOff>
              </from>
              <to>
                <xdr:col>10</xdr:col>
                <xdr:colOff>114300</xdr:colOff>
                <xdr:row>38</xdr:row>
                <xdr:rowOff>38100</xdr:rowOff>
              </to>
            </anchor>
          </objectPr>
        </oleObject>
      </mc:Choice>
      <mc:Fallback>
        <oleObject progId="Equation.DSMT4" shapeId="4100" r:id="rId1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9"/>
  <sheetViews>
    <sheetView zoomScale="130" workbookViewId="0"/>
  </sheetViews>
  <sheetFormatPr defaultRowHeight="12.75" x14ac:dyDescent="0.2"/>
  <cols>
    <col min="1" max="1" width="9.140625" style="4"/>
    <col min="2" max="3" width="9.140625" style="5"/>
    <col min="4" max="4" width="10.140625" style="4" customWidth="1"/>
    <col min="5" max="6" width="9.140625" style="5"/>
  </cols>
  <sheetData>
    <row r="1" spans="1:6" x14ac:dyDescent="0.2">
      <c r="A1" s="2"/>
      <c r="B1" s="3" t="s">
        <v>0</v>
      </c>
      <c r="C1" s="3" t="s">
        <v>1</v>
      </c>
      <c r="D1" s="19" t="s">
        <v>25</v>
      </c>
    </row>
    <row r="2" spans="1:6" x14ac:dyDescent="0.2">
      <c r="B2" s="3">
        <f>Stochastic!B2</f>
        <v>0.5</v>
      </c>
      <c r="C2" s="3">
        <f>Stochastic!C2</f>
        <v>0.1</v>
      </c>
      <c r="D2" s="2" t="s">
        <v>5</v>
      </c>
      <c r="E2" s="6" t="s">
        <v>7</v>
      </c>
      <c r="F2" s="6" t="s">
        <v>8</v>
      </c>
    </row>
    <row r="3" spans="1:6" s="1" customFormat="1" x14ac:dyDescent="0.2">
      <c r="A3" s="3" t="s">
        <v>4</v>
      </c>
      <c r="B3" s="6" t="s">
        <v>2</v>
      </c>
      <c r="C3" s="6" t="s">
        <v>3</v>
      </c>
      <c r="D3" s="2" t="s">
        <v>6</v>
      </c>
      <c r="E3" s="7" t="s">
        <v>9</v>
      </c>
      <c r="F3" s="7" t="s">
        <v>10</v>
      </c>
    </row>
    <row r="4" spans="1:6" s="1" customFormat="1" x14ac:dyDescent="0.2">
      <c r="A4" s="3">
        <v>0</v>
      </c>
      <c r="B4" s="8">
        <f>Stochastic!B4</f>
        <v>20</v>
      </c>
      <c r="C4" s="8">
        <f>Stochastic!C4</f>
        <v>10</v>
      </c>
      <c r="D4" s="3">
        <v>0.1</v>
      </c>
      <c r="E4" s="10">
        <f>$B$2*C4*D4</f>
        <v>0.5</v>
      </c>
      <c r="F4" s="10">
        <f>$C$2*B4*D4</f>
        <v>0.2</v>
      </c>
    </row>
    <row r="5" spans="1:6" s="11" customFormat="1" x14ac:dyDescent="0.2">
      <c r="A5" s="9">
        <f>A4+D4</f>
        <v>0.1</v>
      </c>
      <c r="B5" s="10">
        <f>B4-MIN(E4,B4)</f>
        <v>19.5</v>
      </c>
      <c r="C5" s="10">
        <f>C4-MIN(F4,C4)</f>
        <v>9.8000000000000007</v>
      </c>
      <c r="D5" s="9">
        <f>D4</f>
        <v>0.1</v>
      </c>
      <c r="E5" s="10">
        <f t="shared" ref="E5:E68" si="0">$B$2*C5*D5</f>
        <v>0.49000000000000005</v>
      </c>
      <c r="F5" s="10">
        <f t="shared" ref="F5:F68" si="1">$C$2*B5*D5</f>
        <v>0.19500000000000003</v>
      </c>
    </row>
    <row r="6" spans="1:6" s="11" customFormat="1" x14ac:dyDescent="0.2">
      <c r="A6" s="9">
        <f t="shared" ref="A6:A31" si="2">A5+D5</f>
        <v>0.2</v>
      </c>
      <c r="B6" s="10">
        <f>B5-MIN(E5,B5)</f>
        <v>19.010000000000002</v>
      </c>
      <c r="C6" s="10">
        <f>C5-MIN(F5,C5)</f>
        <v>9.6050000000000004</v>
      </c>
      <c r="D6" s="9">
        <f t="shared" ref="D6:D31" si="3">D5</f>
        <v>0.1</v>
      </c>
      <c r="E6" s="10">
        <f t="shared" si="0"/>
        <v>0.48025000000000007</v>
      </c>
      <c r="F6" s="10">
        <f t="shared" si="1"/>
        <v>0.19010000000000005</v>
      </c>
    </row>
    <row r="7" spans="1:6" s="11" customFormat="1" x14ac:dyDescent="0.2">
      <c r="A7" s="9">
        <f t="shared" si="2"/>
        <v>0.30000000000000004</v>
      </c>
      <c r="B7" s="10">
        <f t="shared" ref="B7:B69" si="4">B6-MIN(E6,B6)</f>
        <v>18.52975</v>
      </c>
      <c r="C7" s="10">
        <f t="shared" ref="C7:C69" si="5">C6-MIN(F6,C6)</f>
        <v>9.4149000000000012</v>
      </c>
      <c r="D7" s="9">
        <f t="shared" si="3"/>
        <v>0.1</v>
      </c>
      <c r="E7" s="10">
        <f t="shared" si="0"/>
        <v>0.47074500000000008</v>
      </c>
      <c r="F7" s="10">
        <f t="shared" si="1"/>
        <v>0.1852975</v>
      </c>
    </row>
    <row r="8" spans="1:6" s="11" customFormat="1" x14ac:dyDescent="0.2">
      <c r="A8" s="9">
        <f t="shared" si="2"/>
        <v>0.4</v>
      </c>
      <c r="B8" s="10">
        <f t="shared" si="4"/>
        <v>18.059004999999999</v>
      </c>
      <c r="C8" s="10">
        <f t="shared" si="5"/>
        <v>9.2296025000000004</v>
      </c>
      <c r="D8" s="9">
        <f t="shared" si="3"/>
        <v>0.1</v>
      </c>
      <c r="E8" s="10">
        <f t="shared" si="0"/>
        <v>0.46148012500000002</v>
      </c>
      <c r="F8" s="10">
        <f t="shared" si="1"/>
        <v>0.18059005</v>
      </c>
    </row>
    <row r="9" spans="1:6" s="11" customFormat="1" x14ac:dyDescent="0.2">
      <c r="A9" s="9">
        <f t="shared" si="2"/>
        <v>0.5</v>
      </c>
      <c r="B9" s="10">
        <f t="shared" si="4"/>
        <v>17.597524874999998</v>
      </c>
      <c r="C9" s="10">
        <f t="shared" si="5"/>
        <v>9.0490124500000011</v>
      </c>
      <c r="D9" s="9">
        <f t="shared" si="3"/>
        <v>0.1</v>
      </c>
      <c r="E9" s="10">
        <f t="shared" si="0"/>
        <v>0.45245062250000007</v>
      </c>
      <c r="F9" s="10">
        <f t="shared" si="1"/>
        <v>0.17597524875000001</v>
      </c>
    </row>
    <row r="10" spans="1:6" s="11" customFormat="1" x14ac:dyDescent="0.2">
      <c r="A10" s="9">
        <f t="shared" si="2"/>
        <v>0.6</v>
      </c>
      <c r="B10" s="10">
        <f t="shared" si="4"/>
        <v>17.145074252499999</v>
      </c>
      <c r="C10" s="10">
        <f t="shared" si="5"/>
        <v>8.8730372012500016</v>
      </c>
      <c r="D10" s="9">
        <f t="shared" si="3"/>
        <v>0.1</v>
      </c>
      <c r="E10" s="10">
        <f t="shared" si="0"/>
        <v>0.44365186006250013</v>
      </c>
      <c r="F10" s="10">
        <f t="shared" si="1"/>
        <v>0.17145074252500001</v>
      </c>
    </row>
    <row r="11" spans="1:6" s="11" customFormat="1" x14ac:dyDescent="0.2">
      <c r="A11" s="9">
        <f t="shared" si="2"/>
        <v>0.7</v>
      </c>
      <c r="B11" s="10">
        <f t="shared" si="4"/>
        <v>16.7014223924375</v>
      </c>
      <c r="C11" s="10">
        <f t="shared" si="5"/>
        <v>8.7015864587250018</v>
      </c>
      <c r="D11" s="9">
        <f t="shared" si="3"/>
        <v>0.1</v>
      </c>
      <c r="E11" s="10">
        <f t="shared" si="0"/>
        <v>0.43507932293625012</v>
      </c>
      <c r="F11" s="10">
        <f t="shared" si="1"/>
        <v>0.16701422392437504</v>
      </c>
    </row>
    <row r="12" spans="1:6" s="11" customFormat="1" x14ac:dyDescent="0.2">
      <c r="A12" s="9">
        <f t="shared" si="2"/>
        <v>0.79999999999999993</v>
      </c>
      <c r="B12" s="10">
        <f t="shared" si="4"/>
        <v>16.26634306950125</v>
      </c>
      <c r="C12" s="10">
        <f t="shared" si="5"/>
        <v>8.5345722348006277</v>
      </c>
      <c r="D12" s="9">
        <f t="shared" si="3"/>
        <v>0.1</v>
      </c>
      <c r="E12" s="10">
        <f t="shared" si="0"/>
        <v>0.4267286117400314</v>
      </c>
      <c r="F12" s="10">
        <f t="shared" si="1"/>
        <v>0.16266343069501252</v>
      </c>
    </row>
    <row r="13" spans="1:6" s="11" customFormat="1" x14ac:dyDescent="0.2">
      <c r="A13" s="9">
        <f t="shared" si="2"/>
        <v>0.89999999999999991</v>
      </c>
      <c r="B13" s="10">
        <f t="shared" si="4"/>
        <v>15.839614457761218</v>
      </c>
      <c r="C13" s="10">
        <f t="shared" si="5"/>
        <v>8.3719088041056153</v>
      </c>
      <c r="D13" s="9">
        <f t="shared" si="3"/>
        <v>0.1</v>
      </c>
      <c r="E13" s="10">
        <f t="shared" si="0"/>
        <v>0.41859544020528078</v>
      </c>
      <c r="F13" s="10">
        <f t="shared" si="1"/>
        <v>0.1583961445776122</v>
      </c>
    </row>
    <row r="14" spans="1:6" s="11" customFormat="1" x14ac:dyDescent="0.2">
      <c r="A14" s="9">
        <f t="shared" si="2"/>
        <v>0.99999999999999989</v>
      </c>
      <c r="B14" s="10">
        <f t="shared" si="4"/>
        <v>15.421019017555938</v>
      </c>
      <c r="C14" s="10">
        <f t="shared" si="5"/>
        <v>8.2135126595280035</v>
      </c>
      <c r="D14" s="9">
        <f t="shared" si="3"/>
        <v>0.1</v>
      </c>
      <c r="E14" s="10">
        <f t="shared" si="0"/>
        <v>0.4106756329764002</v>
      </c>
      <c r="F14" s="10">
        <f t="shared" si="1"/>
        <v>0.1542101901755594</v>
      </c>
    </row>
    <row r="15" spans="1:6" s="11" customFormat="1" x14ac:dyDescent="0.2">
      <c r="A15" s="9">
        <f t="shared" si="2"/>
        <v>1.0999999999999999</v>
      </c>
      <c r="B15" s="10">
        <f t="shared" si="4"/>
        <v>15.010343384579539</v>
      </c>
      <c r="C15" s="10">
        <f t="shared" si="5"/>
        <v>8.0593024693524438</v>
      </c>
      <c r="D15" s="9">
        <f t="shared" si="3"/>
        <v>0.1</v>
      </c>
      <c r="E15" s="10">
        <f t="shared" si="0"/>
        <v>0.4029651234676222</v>
      </c>
      <c r="F15" s="10">
        <f t="shared" si="1"/>
        <v>0.15010343384579539</v>
      </c>
    </row>
    <row r="16" spans="1:6" s="11" customFormat="1" x14ac:dyDescent="0.2">
      <c r="A16" s="9">
        <f t="shared" si="2"/>
        <v>1.2</v>
      </c>
      <c r="B16" s="10">
        <f t="shared" si="4"/>
        <v>14.607378261111917</v>
      </c>
      <c r="C16" s="10">
        <f t="shared" si="5"/>
        <v>7.9091990355066484</v>
      </c>
      <c r="D16" s="9">
        <f t="shared" si="3"/>
        <v>0.1</v>
      </c>
      <c r="E16" s="10">
        <f t="shared" si="0"/>
        <v>0.39545995177533244</v>
      </c>
      <c r="F16" s="10">
        <f t="shared" si="1"/>
        <v>0.1460737826111192</v>
      </c>
    </row>
    <row r="17" spans="1:6" s="11" customFormat="1" x14ac:dyDescent="0.2">
      <c r="A17" s="9">
        <f t="shared" si="2"/>
        <v>1.3</v>
      </c>
      <c r="B17" s="10">
        <f t="shared" si="4"/>
        <v>14.211918309336584</v>
      </c>
      <c r="C17" s="10">
        <f t="shared" si="5"/>
        <v>7.763125252895529</v>
      </c>
      <c r="D17" s="9">
        <f t="shared" si="3"/>
        <v>0.1</v>
      </c>
      <c r="E17" s="10">
        <f t="shared" si="0"/>
        <v>0.38815626264477648</v>
      </c>
      <c r="F17" s="10">
        <f t="shared" si="1"/>
        <v>0.14211918309336585</v>
      </c>
    </row>
    <row r="18" spans="1:6" s="11" customFormat="1" x14ac:dyDescent="0.2">
      <c r="A18" s="9">
        <f t="shared" si="2"/>
        <v>1.4000000000000001</v>
      </c>
      <c r="B18" s="10">
        <f t="shared" si="4"/>
        <v>13.823762046691808</v>
      </c>
      <c r="C18" s="10">
        <f t="shared" si="5"/>
        <v>7.6210060698021636</v>
      </c>
      <c r="D18" s="9">
        <f t="shared" si="3"/>
        <v>0.1</v>
      </c>
      <c r="E18" s="10">
        <f t="shared" si="0"/>
        <v>0.38105030349010821</v>
      </c>
      <c r="F18" s="10">
        <f t="shared" si="1"/>
        <v>0.13823762046691809</v>
      </c>
    </row>
    <row r="19" spans="1:6" s="11" customFormat="1" x14ac:dyDescent="0.2">
      <c r="A19" s="9">
        <f t="shared" si="2"/>
        <v>1.5000000000000002</v>
      </c>
      <c r="B19" s="10">
        <f t="shared" si="4"/>
        <v>13.4427117432017</v>
      </c>
      <c r="C19" s="10">
        <f t="shared" si="5"/>
        <v>7.4827684493352455</v>
      </c>
      <c r="D19" s="9">
        <f t="shared" si="3"/>
        <v>0.1</v>
      </c>
      <c r="E19" s="10">
        <f t="shared" si="0"/>
        <v>0.37413842246676232</v>
      </c>
      <c r="F19" s="10">
        <f t="shared" si="1"/>
        <v>0.13442711743201702</v>
      </c>
    </row>
    <row r="20" spans="1:6" s="11" customFormat="1" x14ac:dyDescent="0.2">
      <c r="A20" s="9">
        <f t="shared" si="2"/>
        <v>1.6000000000000003</v>
      </c>
      <c r="B20" s="10">
        <f t="shared" si="4"/>
        <v>13.068573320734938</v>
      </c>
      <c r="C20" s="10">
        <f t="shared" si="5"/>
        <v>7.3483413319032289</v>
      </c>
      <c r="D20" s="9">
        <f t="shared" si="3"/>
        <v>0.1</v>
      </c>
      <c r="E20" s="10">
        <f t="shared" si="0"/>
        <v>0.36741706659516149</v>
      </c>
      <c r="F20" s="10">
        <f t="shared" si="1"/>
        <v>0.13068573320734941</v>
      </c>
    </row>
    <row r="21" spans="1:6" s="11" customFormat="1" x14ac:dyDescent="0.2">
      <c r="A21" s="9">
        <f t="shared" si="2"/>
        <v>1.7000000000000004</v>
      </c>
      <c r="B21" s="10">
        <f t="shared" si="4"/>
        <v>12.701156254139777</v>
      </c>
      <c r="C21" s="10">
        <f t="shared" si="5"/>
        <v>7.2176555986958792</v>
      </c>
      <c r="D21" s="9">
        <f t="shared" si="3"/>
        <v>0.1</v>
      </c>
      <c r="E21" s="10">
        <f t="shared" si="0"/>
        <v>0.36088277993479401</v>
      </c>
      <c r="F21" s="10">
        <f t="shared" si="1"/>
        <v>0.12701156254139778</v>
      </c>
    </row>
    <row r="22" spans="1:6" s="11" customFormat="1" x14ac:dyDescent="0.2">
      <c r="A22" s="9">
        <f t="shared" si="2"/>
        <v>1.8000000000000005</v>
      </c>
      <c r="B22" s="10">
        <f t="shared" si="4"/>
        <v>12.340273474204983</v>
      </c>
      <c r="C22" s="10">
        <f t="shared" si="5"/>
        <v>7.0906440361544814</v>
      </c>
      <c r="D22" s="9">
        <f t="shared" si="3"/>
        <v>0.1</v>
      </c>
      <c r="E22" s="10">
        <f t="shared" si="0"/>
        <v>0.3545322018077241</v>
      </c>
      <c r="F22" s="10">
        <f t="shared" si="1"/>
        <v>0.12340273474204984</v>
      </c>
    </row>
    <row r="23" spans="1:6" s="11" customFormat="1" x14ac:dyDescent="0.2">
      <c r="A23" s="9">
        <f t="shared" si="2"/>
        <v>1.9000000000000006</v>
      </c>
      <c r="B23" s="10">
        <f t="shared" si="4"/>
        <v>11.985741272397259</v>
      </c>
      <c r="C23" s="10">
        <f t="shared" si="5"/>
        <v>6.9672413014124315</v>
      </c>
      <c r="D23" s="9">
        <f t="shared" si="3"/>
        <v>0.1</v>
      </c>
      <c r="E23" s="10">
        <f t="shared" si="0"/>
        <v>0.34836206507062162</v>
      </c>
      <c r="F23" s="10">
        <f t="shared" si="1"/>
        <v>0.1198574127239726</v>
      </c>
    </row>
    <row r="24" spans="1:6" s="11" customFormat="1" x14ac:dyDescent="0.2">
      <c r="A24" s="9">
        <f t="shared" si="2"/>
        <v>2.0000000000000004</v>
      </c>
      <c r="B24" s="10">
        <f t="shared" si="4"/>
        <v>11.637379207326639</v>
      </c>
      <c r="C24" s="10">
        <f t="shared" si="5"/>
        <v>6.8473838886884586</v>
      </c>
      <c r="D24" s="9">
        <f t="shared" si="3"/>
        <v>0.1</v>
      </c>
      <c r="E24" s="10">
        <f t="shared" si="0"/>
        <v>0.34236919443442293</v>
      </c>
      <c r="F24" s="10">
        <f t="shared" si="1"/>
        <v>0.1163737920732664</v>
      </c>
    </row>
    <row r="25" spans="1:6" s="11" customFormat="1" x14ac:dyDescent="0.2">
      <c r="A25" s="9">
        <f t="shared" si="2"/>
        <v>2.1000000000000005</v>
      </c>
      <c r="B25" s="10">
        <f t="shared" si="4"/>
        <v>11.295010012892217</v>
      </c>
      <c r="C25" s="10">
        <f t="shared" si="5"/>
        <v>6.7310100966151918</v>
      </c>
      <c r="D25" s="9">
        <f t="shared" si="3"/>
        <v>0.1</v>
      </c>
      <c r="E25" s="10">
        <f t="shared" si="0"/>
        <v>0.3365505048307596</v>
      </c>
      <c r="F25" s="10">
        <f t="shared" si="1"/>
        <v>0.11295010012892218</v>
      </c>
    </row>
    <row r="26" spans="1:6" s="11" customFormat="1" x14ac:dyDescent="0.2">
      <c r="A26" s="9">
        <f t="shared" si="2"/>
        <v>2.2000000000000006</v>
      </c>
      <c r="B26" s="10">
        <f t="shared" si="4"/>
        <v>10.958459508061457</v>
      </c>
      <c r="C26" s="10">
        <f t="shared" si="5"/>
        <v>6.6180599964862692</v>
      </c>
      <c r="D26" s="9">
        <f t="shared" si="3"/>
        <v>0.1</v>
      </c>
      <c r="E26" s="10">
        <f t="shared" si="0"/>
        <v>0.33090299982431348</v>
      </c>
      <c r="F26" s="10">
        <f t="shared" si="1"/>
        <v>0.10958459508061458</v>
      </c>
    </row>
    <row r="27" spans="1:6" s="11" customFormat="1" x14ac:dyDescent="0.2">
      <c r="A27" s="9">
        <f t="shared" si="2"/>
        <v>2.3000000000000007</v>
      </c>
      <c r="B27" s="10">
        <f t="shared" si="4"/>
        <v>10.627556508237143</v>
      </c>
      <c r="C27" s="10">
        <f t="shared" si="5"/>
        <v>6.5084754014056543</v>
      </c>
      <c r="D27" s="9">
        <f t="shared" si="3"/>
        <v>0.1</v>
      </c>
      <c r="E27" s="10">
        <f t="shared" si="0"/>
        <v>0.32542377007028273</v>
      </c>
      <c r="F27" s="10">
        <f t="shared" si="1"/>
        <v>0.10627556508237145</v>
      </c>
    </row>
    <row r="28" spans="1:6" s="11" customFormat="1" x14ac:dyDescent="0.2">
      <c r="A28" s="9">
        <f t="shared" si="2"/>
        <v>2.4000000000000008</v>
      </c>
      <c r="B28" s="10">
        <f t="shared" si="4"/>
        <v>10.302132738166861</v>
      </c>
      <c r="C28" s="10">
        <f t="shared" si="5"/>
        <v>6.402199836323283</v>
      </c>
      <c r="D28" s="9">
        <f t="shared" si="3"/>
        <v>0.1</v>
      </c>
      <c r="E28" s="10">
        <f t="shared" si="0"/>
        <v>0.32010999181616417</v>
      </c>
      <c r="F28" s="10">
        <f t="shared" si="1"/>
        <v>0.10302132738166864</v>
      </c>
    </row>
    <row r="29" spans="1:6" s="11" customFormat="1" x14ac:dyDescent="0.2">
      <c r="A29" s="9">
        <f t="shared" si="2"/>
        <v>2.5000000000000009</v>
      </c>
      <c r="B29" s="10">
        <f t="shared" si="4"/>
        <v>9.9820227463506974</v>
      </c>
      <c r="C29" s="10">
        <f t="shared" si="5"/>
        <v>6.2991785089416146</v>
      </c>
      <c r="D29" s="9">
        <f t="shared" si="3"/>
        <v>0.1</v>
      </c>
      <c r="E29" s="10">
        <f t="shared" si="0"/>
        <v>0.31495892544708076</v>
      </c>
      <c r="F29" s="10">
        <f t="shared" si="1"/>
        <v>9.9820227463506994E-2</v>
      </c>
    </row>
    <row r="30" spans="1:6" s="11" customFormat="1" x14ac:dyDescent="0.2">
      <c r="A30" s="9">
        <f t="shared" si="2"/>
        <v>2.600000000000001</v>
      </c>
      <c r="B30" s="10">
        <f t="shared" si="4"/>
        <v>9.6670638209036159</v>
      </c>
      <c r="C30" s="10">
        <f t="shared" si="5"/>
        <v>6.1993582814781076</v>
      </c>
      <c r="D30" s="9">
        <f t="shared" si="3"/>
        <v>0.1</v>
      </c>
      <c r="E30" s="10">
        <f t="shared" si="0"/>
        <v>0.30996791407390539</v>
      </c>
      <c r="F30" s="10">
        <f t="shared" si="1"/>
        <v>9.6670638209036167E-2</v>
      </c>
    </row>
    <row r="31" spans="1:6" s="11" customFormat="1" x14ac:dyDescent="0.2">
      <c r="A31" s="9">
        <f t="shared" si="2"/>
        <v>2.7000000000000011</v>
      </c>
      <c r="B31" s="10">
        <f t="shared" si="4"/>
        <v>9.357095906829711</v>
      </c>
      <c r="C31" s="10">
        <f t="shared" si="5"/>
        <v>6.1026876432690713</v>
      </c>
      <c r="D31" s="9">
        <f t="shared" si="3"/>
        <v>0.1</v>
      </c>
      <c r="E31" s="10">
        <f t="shared" si="0"/>
        <v>0.30513438216345357</v>
      </c>
      <c r="F31" s="10">
        <f t="shared" si="1"/>
        <v>9.3570959068297113E-2</v>
      </c>
    </row>
    <row r="32" spans="1:6" s="11" customFormat="1" x14ac:dyDescent="0.2">
      <c r="A32" s="9">
        <f t="shared" ref="A32:A41" si="6">A31+D31</f>
        <v>2.8000000000000012</v>
      </c>
      <c r="B32" s="10">
        <f t="shared" si="4"/>
        <v>9.0519615246662575</v>
      </c>
      <c r="C32" s="10">
        <f t="shared" si="5"/>
        <v>6.0091166842007739</v>
      </c>
      <c r="D32" s="9">
        <f t="shared" ref="D32:D41" si="7">D31</f>
        <v>0.1</v>
      </c>
      <c r="E32" s="10">
        <f t="shared" si="0"/>
        <v>0.30045583421003874</v>
      </c>
      <c r="F32" s="10">
        <f t="shared" si="1"/>
        <v>9.0519615246662577E-2</v>
      </c>
    </row>
    <row r="33" spans="1:6" x14ac:dyDescent="0.2">
      <c r="A33" s="9">
        <f t="shared" si="6"/>
        <v>2.9000000000000012</v>
      </c>
      <c r="B33" s="10">
        <f t="shared" si="4"/>
        <v>8.7515056904562183</v>
      </c>
      <c r="C33" s="10">
        <f t="shared" si="5"/>
        <v>5.918597068954111</v>
      </c>
      <c r="D33" s="9">
        <f t="shared" si="7"/>
        <v>0.1</v>
      </c>
      <c r="E33" s="10">
        <f t="shared" si="0"/>
        <v>0.29592985344770556</v>
      </c>
      <c r="F33" s="10">
        <f t="shared" si="1"/>
        <v>8.7515056904562183E-2</v>
      </c>
    </row>
    <row r="34" spans="1:6" x14ac:dyDescent="0.2">
      <c r="A34" s="9">
        <f t="shared" si="6"/>
        <v>3.0000000000000013</v>
      </c>
      <c r="B34" s="10">
        <f t="shared" si="4"/>
        <v>8.4555758370085119</v>
      </c>
      <c r="C34" s="10">
        <f t="shared" si="5"/>
        <v>5.8310820120495492</v>
      </c>
      <c r="D34" s="9">
        <f t="shared" si="7"/>
        <v>0.1</v>
      </c>
      <c r="E34" s="10">
        <f t="shared" si="0"/>
        <v>0.2915541006024775</v>
      </c>
      <c r="F34" s="10">
        <f t="shared" si="1"/>
        <v>8.4555758370085124E-2</v>
      </c>
    </row>
    <row r="35" spans="1:6" x14ac:dyDescent="0.2">
      <c r="A35" s="9">
        <f t="shared" si="6"/>
        <v>3.1000000000000014</v>
      </c>
      <c r="B35" s="10">
        <f t="shared" si="4"/>
        <v>8.1640217364060348</v>
      </c>
      <c r="C35" s="10">
        <f t="shared" si="5"/>
        <v>5.7465262536794643</v>
      </c>
      <c r="D35" s="9">
        <f t="shared" si="7"/>
        <v>0.1</v>
      </c>
      <c r="E35" s="10">
        <f t="shared" si="0"/>
        <v>0.28732631268397324</v>
      </c>
      <c r="F35" s="10">
        <f t="shared" si="1"/>
        <v>8.1640217364060352E-2</v>
      </c>
    </row>
    <row r="36" spans="1:6" x14ac:dyDescent="0.2">
      <c r="A36" s="9">
        <f t="shared" si="6"/>
        <v>3.2000000000000015</v>
      </c>
      <c r="B36" s="10">
        <f t="shared" si="4"/>
        <v>7.8766954237220617</v>
      </c>
      <c r="C36" s="10">
        <f t="shared" si="5"/>
        <v>5.6648860363154041</v>
      </c>
      <c r="D36" s="9">
        <f t="shared" si="7"/>
        <v>0.1</v>
      </c>
      <c r="E36" s="10">
        <f t="shared" si="0"/>
        <v>0.28324430181577021</v>
      </c>
      <c r="F36" s="10">
        <f t="shared" si="1"/>
        <v>7.8766954237220632E-2</v>
      </c>
    </row>
    <row r="37" spans="1:6" x14ac:dyDescent="0.2">
      <c r="A37" s="9">
        <f t="shared" si="6"/>
        <v>3.3000000000000016</v>
      </c>
      <c r="B37" s="10">
        <f t="shared" si="4"/>
        <v>7.5934511219062912</v>
      </c>
      <c r="C37" s="10">
        <f t="shared" si="5"/>
        <v>5.5861190820781834</v>
      </c>
      <c r="D37" s="9">
        <f t="shared" si="7"/>
        <v>0.1</v>
      </c>
      <c r="E37" s="10">
        <f t="shared" si="0"/>
        <v>0.27930595410390918</v>
      </c>
      <c r="F37" s="10">
        <f t="shared" si="1"/>
        <v>7.5934511219062917E-2</v>
      </c>
    </row>
    <row r="38" spans="1:6" x14ac:dyDescent="0.2">
      <c r="A38" s="9">
        <f t="shared" si="6"/>
        <v>3.4000000000000017</v>
      </c>
      <c r="B38" s="10">
        <f t="shared" si="4"/>
        <v>7.3141451678023817</v>
      </c>
      <c r="C38" s="10">
        <f t="shared" si="5"/>
        <v>5.5101845708591206</v>
      </c>
      <c r="D38" s="9">
        <f t="shared" si="7"/>
        <v>0.1</v>
      </c>
      <c r="E38" s="10">
        <f t="shared" si="0"/>
        <v>0.27550922854295606</v>
      </c>
      <c r="F38" s="10">
        <f t="shared" si="1"/>
        <v>7.3141451678023814E-2</v>
      </c>
    </row>
    <row r="39" spans="1:6" x14ac:dyDescent="0.2">
      <c r="A39" s="9">
        <f t="shared" si="6"/>
        <v>3.5000000000000018</v>
      </c>
      <c r="B39" s="10">
        <f t="shared" si="4"/>
        <v>7.038635939259426</v>
      </c>
      <c r="C39" s="10">
        <f t="shared" si="5"/>
        <v>5.4370431191810971</v>
      </c>
      <c r="D39" s="9">
        <f t="shared" si="7"/>
        <v>0.1</v>
      </c>
      <c r="E39" s="10">
        <f t="shared" si="0"/>
        <v>0.27185215595905488</v>
      </c>
      <c r="F39" s="10">
        <f t="shared" si="1"/>
        <v>7.0386359392594272E-2</v>
      </c>
    </row>
    <row r="40" spans="1:6" x14ac:dyDescent="0.2">
      <c r="A40" s="9">
        <f t="shared" si="6"/>
        <v>3.6000000000000019</v>
      </c>
      <c r="B40" s="10">
        <f t="shared" si="4"/>
        <v>6.7667837833003714</v>
      </c>
      <c r="C40" s="10">
        <f t="shared" si="5"/>
        <v>5.3666567597885031</v>
      </c>
      <c r="D40" s="9">
        <f t="shared" si="7"/>
        <v>0.1</v>
      </c>
      <c r="E40" s="10">
        <f t="shared" si="0"/>
        <v>0.26833283798942514</v>
      </c>
      <c r="F40" s="10">
        <f t="shared" si="1"/>
        <v>6.7667837833003716E-2</v>
      </c>
    </row>
    <row r="41" spans="1:6" x14ac:dyDescent="0.2">
      <c r="A41" s="9">
        <f t="shared" si="6"/>
        <v>3.700000000000002</v>
      </c>
      <c r="B41" s="10">
        <f t="shared" si="4"/>
        <v>6.498450945310946</v>
      </c>
      <c r="C41" s="10">
        <f t="shared" si="5"/>
        <v>5.2989889219554991</v>
      </c>
      <c r="D41" s="9">
        <f t="shared" si="7"/>
        <v>0.1</v>
      </c>
      <c r="E41" s="10">
        <f t="shared" si="0"/>
        <v>0.26494944609777499</v>
      </c>
      <c r="F41" s="10">
        <f t="shared" si="1"/>
        <v>6.4984509453109462E-2</v>
      </c>
    </row>
    <row r="42" spans="1:6" x14ac:dyDescent="0.2">
      <c r="A42" s="9">
        <f t="shared" ref="A42:A60" si="8">A41+D41</f>
        <v>3.800000000000002</v>
      </c>
      <c r="B42" s="10">
        <f t="shared" si="4"/>
        <v>6.2335014992131708</v>
      </c>
      <c r="C42" s="10">
        <f t="shared" si="5"/>
        <v>5.2340044125023892</v>
      </c>
      <c r="D42" s="9">
        <f t="shared" ref="D42:D60" si="9">D41</f>
        <v>0.1</v>
      </c>
      <c r="E42" s="10">
        <f t="shared" si="0"/>
        <v>0.2617002206251195</v>
      </c>
      <c r="F42" s="10">
        <f t="shared" si="1"/>
        <v>6.2335014992131711E-2</v>
      </c>
    </row>
    <row r="43" spans="1:6" x14ac:dyDescent="0.2">
      <c r="A43" s="9">
        <f t="shared" si="8"/>
        <v>3.9000000000000021</v>
      </c>
      <c r="B43" s="10">
        <f t="shared" si="4"/>
        <v>5.9718012785880514</v>
      </c>
      <c r="C43" s="10">
        <f t="shared" si="5"/>
        <v>5.1716693975102572</v>
      </c>
      <c r="D43" s="9">
        <f t="shared" si="9"/>
        <v>0.1</v>
      </c>
      <c r="E43" s="10">
        <f t="shared" si="0"/>
        <v>0.25858346987551289</v>
      </c>
      <c r="F43" s="10">
        <f t="shared" si="1"/>
        <v>5.9718012785880514E-2</v>
      </c>
    </row>
    <row r="44" spans="1:6" x14ac:dyDescent="0.2">
      <c r="A44" s="9">
        <f t="shared" si="8"/>
        <v>4.0000000000000018</v>
      </c>
      <c r="B44" s="10">
        <f t="shared" si="4"/>
        <v>5.7132178087125389</v>
      </c>
      <c r="C44" s="10">
        <f t="shared" si="5"/>
        <v>5.1119513847243763</v>
      </c>
      <c r="D44" s="9">
        <f t="shared" si="9"/>
        <v>0.1</v>
      </c>
      <c r="E44" s="10">
        <f t="shared" si="0"/>
        <v>0.25559756923621885</v>
      </c>
      <c r="F44" s="10">
        <f t="shared" si="1"/>
        <v>5.7132178087125396E-2</v>
      </c>
    </row>
    <row r="45" spans="1:6" x14ac:dyDescent="0.2">
      <c r="A45" s="9">
        <f t="shared" si="8"/>
        <v>4.1000000000000014</v>
      </c>
      <c r="B45" s="10">
        <f t="shared" si="4"/>
        <v>5.45762023947632</v>
      </c>
      <c r="C45" s="10">
        <f t="shared" si="5"/>
        <v>5.0548192066372506</v>
      </c>
      <c r="D45" s="9">
        <f t="shared" si="9"/>
        <v>0.1</v>
      </c>
      <c r="E45" s="10">
        <f t="shared" si="0"/>
        <v>0.25274096033186255</v>
      </c>
      <c r="F45" s="10">
        <f t="shared" si="1"/>
        <v>5.4576202394763212E-2</v>
      </c>
    </row>
    <row r="46" spans="1:6" x14ac:dyDescent="0.2">
      <c r="A46" s="9">
        <f t="shared" si="8"/>
        <v>4.2000000000000011</v>
      </c>
      <c r="B46" s="10">
        <f t="shared" si="4"/>
        <v>5.2048792791444578</v>
      </c>
      <c r="C46" s="10">
        <f t="shared" si="5"/>
        <v>5.0002430042424875</v>
      </c>
      <c r="D46" s="9">
        <f t="shared" si="9"/>
        <v>0.1</v>
      </c>
      <c r="E46" s="10">
        <f t="shared" si="0"/>
        <v>0.25001215021212436</v>
      </c>
      <c r="F46" s="10">
        <f t="shared" si="1"/>
        <v>5.204879279144458E-2</v>
      </c>
    </row>
    <row r="47" spans="1:6" x14ac:dyDescent="0.2">
      <c r="A47" s="9">
        <f t="shared" si="8"/>
        <v>4.3000000000000007</v>
      </c>
      <c r="B47" s="10">
        <f t="shared" si="4"/>
        <v>4.9548671289323334</v>
      </c>
      <c r="C47" s="10">
        <f t="shared" si="5"/>
        <v>4.9481942114510433</v>
      </c>
      <c r="D47" s="9">
        <f t="shared" si="9"/>
        <v>0.1</v>
      </c>
      <c r="E47" s="10">
        <f t="shared" si="0"/>
        <v>0.24740971057255218</v>
      </c>
      <c r="F47" s="10">
        <f t="shared" si="1"/>
        <v>4.9548671289323339E-2</v>
      </c>
    </row>
    <row r="48" spans="1:6" x14ac:dyDescent="0.2">
      <c r="A48" s="9">
        <f t="shared" si="8"/>
        <v>4.4000000000000004</v>
      </c>
      <c r="B48" s="10">
        <f t="shared" si="4"/>
        <v>4.7074574183597813</v>
      </c>
      <c r="C48" s="10">
        <f t="shared" si="5"/>
        <v>4.8986455401617199</v>
      </c>
      <c r="D48" s="9">
        <f t="shared" si="9"/>
        <v>0.1</v>
      </c>
      <c r="E48" s="10">
        <f t="shared" si="0"/>
        <v>0.24493227700808601</v>
      </c>
      <c r="F48" s="10">
        <f t="shared" si="1"/>
        <v>4.7074574183597818E-2</v>
      </c>
    </row>
    <row r="49" spans="1:6" x14ac:dyDescent="0.2">
      <c r="A49" s="9">
        <f t="shared" si="8"/>
        <v>4.5</v>
      </c>
      <c r="B49" s="10">
        <f t="shared" si="4"/>
        <v>4.4625251413516951</v>
      </c>
      <c r="C49" s="10">
        <f t="shared" si="5"/>
        <v>4.8515709659781221</v>
      </c>
      <c r="D49" s="9">
        <f t="shared" si="9"/>
        <v>0.1</v>
      </c>
      <c r="E49" s="10">
        <f t="shared" si="0"/>
        <v>0.24257854829890613</v>
      </c>
      <c r="F49" s="10">
        <f t="shared" si="1"/>
        <v>4.4625251413516955E-2</v>
      </c>
    </row>
    <row r="50" spans="1:6" x14ac:dyDescent="0.2">
      <c r="A50" s="9">
        <f t="shared" si="8"/>
        <v>4.5999999999999996</v>
      </c>
      <c r="B50" s="10">
        <f t="shared" si="4"/>
        <v>4.2199465930527893</v>
      </c>
      <c r="C50" s="10">
        <f t="shared" si="5"/>
        <v>4.8069457145646055</v>
      </c>
      <c r="D50" s="9">
        <f t="shared" si="9"/>
        <v>0.1</v>
      </c>
      <c r="E50" s="10">
        <f t="shared" si="0"/>
        <v>0.24034728572823028</v>
      </c>
      <c r="F50" s="10">
        <f t="shared" si="1"/>
        <v>4.2199465930527896E-2</v>
      </c>
    </row>
    <row r="51" spans="1:6" x14ac:dyDescent="0.2">
      <c r="A51" s="9">
        <f t="shared" si="8"/>
        <v>4.6999999999999993</v>
      </c>
      <c r="B51" s="10">
        <f t="shared" si="4"/>
        <v>3.979599307324559</v>
      </c>
      <c r="C51" s="10">
        <f t="shared" si="5"/>
        <v>4.7647462486340775</v>
      </c>
      <c r="D51" s="9">
        <f t="shared" si="9"/>
        <v>0.1</v>
      </c>
      <c r="E51" s="10">
        <f t="shared" si="0"/>
        <v>0.23823731243170387</v>
      </c>
      <c r="F51" s="10">
        <f t="shared" si="1"/>
        <v>3.9795993073245599E-2</v>
      </c>
    </row>
    <row r="52" spans="1:6" x14ac:dyDescent="0.2">
      <c r="A52" s="9">
        <f t="shared" si="8"/>
        <v>4.7999999999999989</v>
      </c>
      <c r="B52" s="10">
        <f t="shared" si="4"/>
        <v>3.7413619948928551</v>
      </c>
      <c r="C52" s="10">
        <f t="shared" si="5"/>
        <v>4.7249502555608318</v>
      </c>
      <c r="D52" s="9">
        <f t="shared" si="9"/>
        <v>0.1</v>
      </c>
      <c r="E52" s="10">
        <f t="shared" si="0"/>
        <v>0.2362475127780416</v>
      </c>
      <c r="F52" s="10">
        <f t="shared" si="1"/>
        <v>3.7413619948928556E-2</v>
      </c>
    </row>
    <row r="53" spans="1:6" x14ac:dyDescent="0.2">
      <c r="A53" s="9">
        <f t="shared" si="8"/>
        <v>4.8999999999999986</v>
      </c>
      <c r="B53" s="10">
        <f t="shared" si="4"/>
        <v>3.5051144821148137</v>
      </c>
      <c r="C53" s="10">
        <f t="shared" si="5"/>
        <v>4.6875366356119033</v>
      </c>
      <c r="D53" s="9">
        <f t="shared" si="9"/>
        <v>0.1</v>
      </c>
      <c r="E53" s="10">
        <f t="shared" si="0"/>
        <v>0.23437683178059518</v>
      </c>
      <c r="F53" s="10">
        <f t="shared" si="1"/>
        <v>3.5051144821148142E-2</v>
      </c>
    </row>
    <row r="54" spans="1:6" x14ac:dyDescent="0.2">
      <c r="A54" s="9">
        <f t="shared" si="8"/>
        <v>4.9999999999999982</v>
      </c>
      <c r="B54" s="10">
        <f t="shared" si="4"/>
        <v>3.2707376503342185</v>
      </c>
      <c r="C54" s="10">
        <f t="shared" si="5"/>
        <v>4.6524854907907551</v>
      </c>
      <c r="D54" s="9">
        <f t="shared" si="9"/>
        <v>0.1</v>
      </c>
      <c r="E54" s="10">
        <f t="shared" si="0"/>
        <v>0.23262427453953777</v>
      </c>
      <c r="F54" s="10">
        <f t="shared" si="1"/>
        <v>3.2707376503342191E-2</v>
      </c>
    </row>
    <row r="55" spans="1:6" x14ac:dyDescent="0.2">
      <c r="A55" s="9">
        <f t="shared" si="8"/>
        <v>5.0999999999999979</v>
      </c>
      <c r="B55" s="10">
        <f t="shared" si="4"/>
        <v>3.0381133757946808</v>
      </c>
      <c r="C55" s="10">
        <f t="shared" si="5"/>
        <v>4.6197781142874126</v>
      </c>
      <c r="D55" s="9">
        <f t="shared" si="9"/>
        <v>0.1</v>
      </c>
      <c r="E55" s="10">
        <f t="shared" si="0"/>
        <v>0.23098890571437064</v>
      </c>
      <c r="F55" s="10">
        <f t="shared" si="1"/>
        <v>3.0381133757946811E-2</v>
      </c>
    </row>
    <row r="56" spans="1:6" x14ac:dyDescent="0.2">
      <c r="A56" s="9">
        <f t="shared" si="8"/>
        <v>5.1999999999999975</v>
      </c>
      <c r="B56" s="10">
        <f t="shared" si="4"/>
        <v>2.8071244700803102</v>
      </c>
      <c r="C56" s="10">
        <f t="shared" si="5"/>
        <v>4.5893969805294654</v>
      </c>
      <c r="D56" s="9">
        <f t="shared" si="9"/>
        <v>0.1</v>
      </c>
      <c r="E56" s="10">
        <f t="shared" si="0"/>
        <v>0.22946984902647327</v>
      </c>
      <c r="F56" s="10">
        <f t="shared" si="1"/>
        <v>2.8071244700803105E-2</v>
      </c>
    </row>
    <row r="57" spans="1:6" x14ac:dyDescent="0.2">
      <c r="A57" s="9">
        <f t="shared" si="8"/>
        <v>5.2999999999999972</v>
      </c>
      <c r="B57" s="10">
        <f t="shared" si="4"/>
        <v>2.5776546210538367</v>
      </c>
      <c r="C57" s="10">
        <f t="shared" si="5"/>
        <v>4.5613257358286621</v>
      </c>
      <c r="D57" s="9">
        <f t="shared" si="9"/>
        <v>0.1</v>
      </c>
      <c r="E57" s="10">
        <f t="shared" si="0"/>
        <v>0.22806628679143312</v>
      </c>
      <c r="F57" s="10">
        <f t="shared" si="1"/>
        <v>2.5776546210538372E-2</v>
      </c>
    </row>
    <row r="58" spans="1:6" x14ac:dyDescent="0.2">
      <c r="A58" s="9">
        <f t="shared" si="8"/>
        <v>5.3999999999999968</v>
      </c>
      <c r="B58" s="10">
        <f t="shared" si="4"/>
        <v>2.3495883342624038</v>
      </c>
      <c r="C58" s="10">
        <f t="shared" si="5"/>
        <v>4.5355491896181235</v>
      </c>
      <c r="D58" s="9">
        <f t="shared" si="9"/>
        <v>0.1</v>
      </c>
      <c r="E58" s="10">
        <f t="shared" si="0"/>
        <v>0.22677745948090619</v>
      </c>
      <c r="F58" s="10">
        <f t="shared" si="1"/>
        <v>2.3495883342624039E-2</v>
      </c>
    </row>
    <row r="59" spans="1:6" x14ac:dyDescent="0.2">
      <c r="A59" s="9">
        <f t="shared" si="8"/>
        <v>5.4999999999999964</v>
      </c>
      <c r="B59" s="10">
        <f t="shared" si="4"/>
        <v>2.1228108747814978</v>
      </c>
      <c r="C59" s="10">
        <f t="shared" si="5"/>
        <v>4.5120533062754991</v>
      </c>
      <c r="D59" s="9">
        <f t="shared" si="9"/>
        <v>0.1</v>
      </c>
      <c r="E59" s="10">
        <f t="shared" si="0"/>
        <v>0.22560266531377496</v>
      </c>
      <c r="F59" s="10">
        <f t="shared" si="1"/>
        <v>2.1228108747814979E-2</v>
      </c>
    </row>
    <row r="60" spans="1:6" x14ac:dyDescent="0.2">
      <c r="A60" s="9">
        <f t="shared" si="8"/>
        <v>5.5999999999999961</v>
      </c>
      <c r="B60" s="10">
        <f t="shared" si="4"/>
        <v>1.8972082094677227</v>
      </c>
      <c r="C60" s="10">
        <f t="shared" si="5"/>
        <v>4.4908251975276841</v>
      </c>
      <c r="D60" s="9">
        <f t="shared" si="9"/>
        <v>0.1</v>
      </c>
      <c r="E60" s="10">
        <f t="shared" si="0"/>
        <v>0.22454125987638421</v>
      </c>
      <c r="F60" s="10">
        <f t="shared" si="1"/>
        <v>1.8972082094677229E-2</v>
      </c>
    </row>
    <row r="61" spans="1:6" x14ac:dyDescent="0.2">
      <c r="A61" s="9">
        <f t="shared" ref="A61:A69" si="10">A60+D60</f>
        <v>5.6999999999999957</v>
      </c>
      <c r="B61" s="10">
        <f t="shared" si="4"/>
        <v>1.6726669495913384</v>
      </c>
      <c r="C61" s="10">
        <f t="shared" si="5"/>
        <v>4.4718531154330066</v>
      </c>
      <c r="D61" s="9">
        <f t="shared" ref="D61:D69" si="11">D60</f>
        <v>0.1</v>
      </c>
      <c r="E61" s="10">
        <f t="shared" si="0"/>
        <v>0.22359265577165033</v>
      </c>
      <c r="F61" s="10">
        <f t="shared" si="1"/>
        <v>1.6726669495913386E-2</v>
      </c>
    </row>
    <row r="62" spans="1:6" x14ac:dyDescent="0.2">
      <c r="A62" s="9">
        <f t="shared" si="10"/>
        <v>5.7999999999999954</v>
      </c>
      <c r="B62" s="10">
        <f t="shared" si="4"/>
        <v>1.4490742938196881</v>
      </c>
      <c r="C62" s="10">
        <f t="shared" si="5"/>
        <v>4.4551264459370934</v>
      </c>
      <c r="D62" s="9">
        <f t="shared" si="11"/>
        <v>0.1</v>
      </c>
      <c r="E62" s="10">
        <f t="shared" si="0"/>
        <v>0.22275632229685469</v>
      </c>
      <c r="F62" s="10">
        <f t="shared" si="1"/>
        <v>1.4490742938196882E-2</v>
      </c>
    </row>
    <row r="63" spans="1:6" x14ac:dyDescent="0.2">
      <c r="A63" s="9">
        <f t="shared" si="10"/>
        <v>5.899999999999995</v>
      </c>
      <c r="B63" s="10">
        <f t="shared" si="4"/>
        <v>1.2263179715228334</v>
      </c>
      <c r="C63" s="10">
        <f t="shared" si="5"/>
        <v>4.4406357029988968</v>
      </c>
      <c r="D63" s="9">
        <f t="shared" si="11"/>
        <v>0.1</v>
      </c>
      <c r="E63" s="10">
        <f t="shared" si="0"/>
        <v>0.22203178514994484</v>
      </c>
      <c r="F63" s="10">
        <f t="shared" si="1"/>
        <v>1.2263179715228334E-2</v>
      </c>
    </row>
    <row r="64" spans="1:6" x14ac:dyDescent="0.2">
      <c r="A64" s="9">
        <f t="shared" si="10"/>
        <v>5.9999999999999947</v>
      </c>
      <c r="B64" s="10">
        <f t="shared" si="4"/>
        <v>1.0042861863728885</v>
      </c>
      <c r="C64" s="10">
        <f t="shared" si="5"/>
        <v>4.4283725232836684</v>
      </c>
      <c r="D64" s="9">
        <f t="shared" si="11"/>
        <v>0.1</v>
      </c>
      <c r="E64" s="10">
        <f t="shared" si="0"/>
        <v>0.22141862616418342</v>
      </c>
      <c r="F64" s="10">
        <f t="shared" si="1"/>
        <v>1.0042861863728887E-2</v>
      </c>
    </row>
    <row r="65" spans="1:6" x14ac:dyDescent="0.2">
      <c r="A65" s="9">
        <f t="shared" si="10"/>
        <v>6.0999999999999943</v>
      </c>
      <c r="B65" s="10">
        <f t="shared" si="4"/>
        <v>0.78286756020870507</v>
      </c>
      <c r="C65" s="10">
        <f t="shared" si="5"/>
        <v>4.4183296614199392</v>
      </c>
      <c r="D65" s="9">
        <f t="shared" si="11"/>
        <v>0.1</v>
      </c>
      <c r="E65" s="10">
        <f t="shared" si="0"/>
        <v>0.22091648307099698</v>
      </c>
      <c r="F65" s="10">
        <f t="shared" si="1"/>
        <v>7.8286756020870523E-3</v>
      </c>
    </row>
    <row r="66" spans="1:6" x14ac:dyDescent="0.2">
      <c r="A66" s="9">
        <f t="shared" si="10"/>
        <v>6.199999999999994</v>
      </c>
      <c r="B66" s="10">
        <f t="shared" si="4"/>
        <v>0.56195107713770809</v>
      </c>
      <c r="C66" s="10">
        <f t="shared" si="5"/>
        <v>4.4105009858178521</v>
      </c>
      <c r="D66" s="9">
        <f t="shared" si="11"/>
        <v>0.1</v>
      </c>
      <c r="E66" s="10">
        <f t="shared" si="0"/>
        <v>0.22052504929089262</v>
      </c>
      <c r="F66" s="10">
        <f t="shared" si="1"/>
        <v>5.6195107713770814E-3</v>
      </c>
    </row>
    <row r="67" spans="1:6" x14ac:dyDescent="0.2">
      <c r="A67" s="9">
        <f t="shared" si="10"/>
        <v>6.2999999999999936</v>
      </c>
      <c r="B67" s="10">
        <f t="shared" si="4"/>
        <v>0.34142602784681547</v>
      </c>
      <c r="C67" s="10">
        <f t="shared" si="5"/>
        <v>4.4048814750464746</v>
      </c>
      <c r="D67" s="9">
        <f t="shared" si="11"/>
        <v>0.1</v>
      </c>
      <c r="E67" s="10">
        <f t="shared" si="0"/>
        <v>0.22024407375232374</v>
      </c>
      <c r="F67" s="10">
        <f t="shared" si="1"/>
        <v>3.4142602784681553E-3</v>
      </c>
    </row>
    <row r="68" spans="1:6" x14ac:dyDescent="0.2">
      <c r="A68" s="9">
        <f t="shared" si="10"/>
        <v>6.3999999999999932</v>
      </c>
      <c r="B68" s="10">
        <f t="shared" si="4"/>
        <v>0.12118195409449173</v>
      </c>
      <c r="C68" s="10">
        <f t="shared" si="5"/>
        <v>4.4014672147680063</v>
      </c>
      <c r="D68" s="9">
        <f t="shared" si="11"/>
        <v>0.1</v>
      </c>
      <c r="E68" s="10">
        <f t="shared" si="0"/>
        <v>0.22007336073840034</v>
      </c>
      <c r="F68" s="10">
        <f t="shared" si="1"/>
        <v>1.2118195409449176E-3</v>
      </c>
    </row>
    <row r="69" spans="1:6" x14ac:dyDescent="0.2">
      <c r="A69" s="9">
        <f t="shared" si="10"/>
        <v>6.4999999999999929</v>
      </c>
      <c r="B69" s="10">
        <f t="shared" si="4"/>
        <v>0</v>
      </c>
      <c r="C69" s="10">
        <f t="shared" si="5"/>
        <v>4.4002553952270613</v>
      </c>
      <c r="D69" s="9">
        <f t="shared" si="11"/>
        <v>0.1</v>
      </c>
      <c r="E69" s="10">
        <f>$B$2*C69*D69</f>
        <v>0.22001276976135309</v>
      </c>
      <c r="F69" s="10">
        <f>$C$2*B69*D69</f>
        <v>0</v>
      </c>
    </row>
  </sheetData>
  <phoneticPr fontId="2" type="noConversion"/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00"/>
  <sheetViews>
    <sheetView topLeftCell="A795" workbookViewId="0">
      <selection activeCell="A1000" sqref="A1000:C1000"/>
    </sheetView>
  </sheetViews>
  <sheetFormatPr defaultRowHeight="12.75" x14ac:dyDescent="0.2"/>
  <sheetData>
    <row r="1" spans="1:3" x14ac:dyDescent="0.2">
      <c r="A1">
        <v>8.13926052370803</v>
      </c>
      <c r="B1">
        <v>6</v>
      </c>
      <c r="C1">
        <v>0</v>
      </c>
    </row>
    <row r="2" spans="1:3" x14ac:dyDescent="0.2">
      <c r="A2">
        <v>6.0692820246445507</v>
      </c>
      <c r="B2">
        <v>8</v>
      </c>
      <c r="C2">
        <v>0</v>
      </c>
    </row>
    <row r="3" spans="1:3" x14ac:dyDescent="0.2">
      <c r="A3">
        <v>5.7539253895243885</v>
      </c>
      <c r="B3">
        <v>7</v>
      </c>
      <c r="C3">
        <v>0</v>
      </c>
    </row>
    <row r="4" spans="1:3" x14ac:dyDescent="0.2">
      <c r="A4">
        <v>5.1026625164547319</v>
      </c>
      <c r="B4">
        <v>11</v>
      </c>
      <c r="C4">
        <v>0</v>
      </c>
    </row>
    <row r="5" spans="1:3" x14ac:dyDescent="0.2">
      <c r="A5">
        <v>5.6169846018365215</v>
      </c>
      <c r="B5">
        <v>0</v>
      </c>
      <c r="C5">
        <v>8</v>
      </c>
    </row>
    <row r="6" spans="1:3" x14ac:dyDescent="0.2">
      <c r="A6">
        <v>12.276180948325315</v>
      </c>
      <c r="B6">
        <v>2</v>
      </c>
      <c r="C6">
        <v>0</v>
      </c>
    </row>
    <row r="7" spans="1:3" x14ac:dyDescent="0.2">
      <c r="A7">
        <v>3.631778557059405</v>
      </c>
      <c r="B7">
        <v>0</v>
      </c>
      <c r="C7">
        <v>6</v>
      </c>
    </row>
    <row r="8" spans="1:3" x14ac:dyDescent="0.2">
      <c r="A8">
        <v>6.450021196135153</v>
      </c>
      <c r="B8">
        <v>0</v>
      </c>
      <c r="C8">
        <v>4</v>
      </c>
    </row>
    <row r="9" spans="1:3" x14ac:dyDescent="0.2">
      <c r="A9">
        <v>4.122283342217397</v>
      </c>
      <c r="B9">
        <v>0</v>
      </c>
      <c r="C9">
        <v>7</v>
      </c>
    </row>
    <row r="10" spans="1:3" x14ac:dyDescent="0.2">
      <c r="A10">
        <v>5.0000303751818533</v>
      </c>
      <c r="B10">
        <v>0</v>
      </c>
      <c r="C10">
        <v>7</v>
      </c>
    </row>
    <row r="11" spans="1:3" x14ac:dyDescent="0.2">
      <c r="A11">
        <v>5.4166692445218141</v>
      </c>
      <c r="B11">
        <v>10</v>
      </c>
      <c r="C11">
        <v>0</v>
      </c>
    </row>
    <row r="12" spans="1:3" x14ac:dyDescent="0.2">
      <c r="A12">
        <v>5.2761190558522326</v>
      </c>
      <c r="B12">
        <v>0</v>
      </c>
      <c r="C12">
        <v>7</v>
      </c>
    </row>
    <row r="13" spans="1:3" x14ac:dyDescent="0.2">
      <c r="A13">
        <v>9.0615483603491818</v>
      </c>
      <c r="B13">
        <v>0</v>
      </c>
      <c r="C13">
        <v>4</v>
      </c>
    </row>
    <row r="14" spans="1:3" x14ac:dyDescent="0.2">
      <c r="A14">
        <v>5.2614708605257245</v>
      </c>
      <c r="B14">
        <v>0</v>
      </c>
      <c r="C14">
        <v>8</v>
      </c>
    </row>
    <row r="15" spans="1:3" x14ac:dyDescent="0.2">
      <c r="A15">
        <v>6.6305917390006304</v>
      </c>
      <c r="B15">
        <v>8</v>
      </c>
      <c r="C15">
        <v>0</v>
      </c>
    </row>
    <row r="16" spans="1:3" x14ac:dyDescent="0.2">
      <c r="A16">
        <v>10.300929539996556</v>
      </c>
      <c r="B16">
        <v>0</v>
      </c>
      <c r="C16">
        <v>2</v>
      </c>
    </row>
    <row r="17" spans="1:3" x14ac:dyDescent="0.2">
      <c r="A17">
        <v>4.2622480102081655</v>
      </c>
      <c r="B17">
        <v>11</v>
      </c>
      <c r="C17">
        <v>0</v>
      </c>
    </row>
    <row r="18" spans="1:3" x14ac:dyDescent="0.2">
      <c r="A18">
        <v>5.5767176581381861</v>
      </c>
      <c r="B18">
        <v>0</v>
      </c>
      <c r="C18">
        <v>5</v>
      </c>
    </row>
    <row r="19" spans="1:3" x14ac:dyDescent="0.2">
      <c r="A19">
        <v>4.9300579733607801</v>
      </c>
      <c r="B19">
        <v>0</v>
      </c>
      <c r="C19">
        <v>5</v>
      </c>
    </row>
    <row r="20" spans="1:3" x14ac:dyDescent="0.2">
      <c r="A20">
        <v>8.5569018760051296</v>
      </c>
      <c r="B20">
        <v>0</v>
      </c>
      <c r="C20">
        <v>2</v>
      </c>
    </row>
    <row r="21" spans="1:3" x14ac:dyDescent="0.2">
      <c r="A21">
        <v>6.1633685086028205</v>
      </c>
      <c r="B21">
        <v>0</v>
      </c>
      <c r="C21">
        <v>5</v>
      </c>
    </row>
    <row r="22" spans="1:3" x14ac:dyDescent="0.2">
      <c r="A22">
        <v>7.3144523771922048</v>
      </c>
      <c r="B22">
        <v>0</v>
      </c>
      <c r="C22">
        <v>4</v>
      </c>
    </row>
    <row r="23" spans="1:3" x14ac:dyDescent="0.2">
      <c r="A23">
        <v>8.3867489884837418</v>
      </c>
      <c r="B23">
        <v>0</v>
      </c>
      <c r="C23">
        <v>3</v>
      </c>
    </row>
    <row r="24" spans="1:3" x14ac:dyDescent="0.2">
      <c r="A24">
        <v>5.3805315277162444</v>
      </c>
      <c r="B24">
        <v>0</v>
      </c>
      <c r="C24">
        <v>6</v>
      </c>
    </row>
    <row r="25" spans="1:3" x14ac:dyDescent="0.2">
      <c r="A25">
        <v>4.1372008329888157</v>
      </c>
      <c r="B25">
        <v>16</v>
      </c>
      <c r="C25">
        <v>0</v>
      </c>
    </row>
    <row r="26" spans="1:3" x14ac:dyDescent="0.2">
      <c r="A26">
        <v>4.4275106838254468</v>
      </c>
      <c r="B26">
        <v>0</v>
      </c>
      <c r="C26">
        <v>8</v>
      </c>
    </row>
    <row r="27" spans="1:3" x14ac:dyDescent="0.2">
      <c r="A27">
        <v>8.2190878083161394</v>
      </c>
      <c r="B27">
        <v>10</v>
      </c>
      <c r="C27">
        <v>0</v>
      </c>
    </row>
    <row r="28" spans="1:3" x14ac:dyDescent="0.2">
      <c r="A28">
        <v>6.3083640515591428</v>
      </c>
      <c r="B28">
        <v>0</v>
      </c>
      <c r="C28">
        <v>5</v>
      </c>
    </row>
    <row r="29" spans="1:3" x14ac:dyDescent="0.2">
      <c r="A29">
        <v>6.19125524160662</v>
      </c>
      <c r="B29">
        <v>10</v>
      </c>
      <c r="C29">
        <v>0</v>
      </c>
    </row>
    <row r="30" spans="1:3" x14ac:dyDescent="0.2">
      <c r="A30">
        <v>8.0003937618664196</v>
      </c>
      <c r="B30">
        <v>0</v>
      </c>
      <c r="C30">
        <v>3</v>
      </c>
    </row>
    <row r="31" spans="1:3" x14ac:dyDescent="0.2">
      <c r="A31">
        <v>8.0349273048259153</v>
      </c>
      <c r="B31">
        <v>0</v>
      </c>
      <c r="C31">
        <v>4</v>
      </c>
    </row>
    <row r="32" spans="1:3" x14ac:dyDescent="0.2">
      <c r="A32">
        <v>5.2547912244525907</v>
      </c>
      <c r="B32">
        <v>0</v>
      </c>
      <c r="C32">
        <v>6</v>
      </c>
    </row>
    <row r="33" spans="1:3" x14ac:dyDescent="0.2">
      <c r="A33">
        <v>3.7862494842574961</v>
      </c>
      <c r="B33">
        <v>0</v>
      </c>
      <c r="C33">
        <v>10</v>
      </c>
    </row>
    <row r="34" spans="1:3" x14ac:dyDescent="0.2">
      <c r="A34">
        <v>7.8115983085335934</v>
      </c>
      <c r="B34">
        <v>0</v>
      </c>
      <c r="C34">
        <v>1</v>
      </c>
    </row>
    <row r="35" spans="1:3" x14ac:dyDescent="0.2">
      <c r="A35">
        <v>9.3761867344979066</v>
      </c>
      <c r="B35">
        <v>8</v>
      </c>
      <c r="C35">
        <v>0</v>
      </c>
    </row>
    <row r="36" spans="1:3" x14ac:dyDescent="0.2">
      <c r="A36">
        <v>8.63719265292778</v>
      </c>
      <c r="B36">
        <v>0</v>
      </c>
      <c r="C36">
        <v>5</v>
      </c>
    </row>
    <row r="37" spans="1:3" x14ac:dyDescent="0.2">
      <c r="A37">
        <v>5.3936639446114079</v>
      </c>
      <c r="B37">
        <v>0</v>
      </c>
      <c r="C37">
        <v>7</v>
      </c>
    </row>
    <row r="38" spans="1:3" x14ac:dyDescent="0.2">
      <c r="A38">
        <v>8.9857176951145856</v>
      </c>
      <c r="B38">
        <v>0</v>
      </c>
      <c r="C38">
        <v>2</v>
      </c>
    </row>
    <row r="39" spans="1:3" x14ac:dyDescent="0.2">
      <c r="A39">
        <v>4.0921031595817237</v>
      </c>
      <c r="B39">
        <v>0</v>
      </c>
      <c r="C39">
        <v>9</v>
      </c>
    </row>
    <row r="40" spans="1:3" x14ac:dyDescent="0.2">
      <c r="A40">
        <v>3.0378270594151724</v>
      </c>
      <c r="B40">
        <v>0</v>
      </c>
      <c r="C40">
        <v>9</v>
      </c>
    </row>
    <row r="41" spans="1:3" x14ac:dyDescent="0.2">
      <c r="A41">
        <v>4.3290710579297302</v>
      </c>
      <c r="B41">
        <v>0</v>
      </c>
      <c r="C41">
        <v>7</v>
      </c>
    </row>
    <row r="42" spans="1:3" x14ac:dyDescent="0.2">
      <c r="A42">
        <v>3.8583474249070653</v>
      </c>
      <c r="B42">
        <v>0</v>
      </c>
      <c r="C42">
        <v>8</v>
      </c>
    </row>
    <row r="43" spans="1:3" x14ac:dyDescent="0.2">
      <c r="A43">
        <v>4.5733281493978364</v>
      </c>
      <c r="B43">
        <v>0</v>
      </c>
      <c r="C43">
        <v>8</v>
      </c>
    </row>
    <row r="44" spans="1:3" x14ac:dyDescent="0.2">
      <c r="A44">
        <v>3.1389669877304058</v>
      </c>
      <c r="B44">
        <v>0</v>
      </c>
      <c r="C44">
        <v>9</v>
      </c>
    </row>
    <row r="45" spans="1:3" x14ac:dyDescent="0.2">
      <c r="A45">
        <v>10.199089301362944</v>
      </c>
      <c r="B45">
        <v>0</v>
      </c>
      <c r="C45">
        <v>5</v>
      </c>
    </row>
    <row r="46" spans="1:3" x14ac:dyDescent="0.2">
      <c r="A46">
        <v>9.0973914784446581</v>
      </c>
      <c r="B46">
        <v>4</v>
      </c>
      <c r="C46">
        <v>0</v>
      </c>
    </row>
    <row r="47" spans="1:3" x14ac:dyDescent="0.2">
      <c r="A47">
        <v>3.7955221691607575</v>
      </c>
      <c r="B47">
        <v>0</v>
      </c>
      <c r="C47">
        <v>7</v>
      </c>
    </row>
    <row r="48" spans="1:3" x14ac:dyDescent="0.2">
      <c r="A48">
        <v>4.6481088313885337</v>
      </c>
      <c r="B48">
        <v>0</v>
      </c>
      <c r="C48">
        <v>5</v>
      </c>
    </row>
    <row r="49" spans="1:3" x14ac:dyDescent="0.2">
      <c r="A49">
        <v>5.0541427888914265</v>
      </c>
      <c r="B49">
        <v>0</v>
      </c>
      <c r="C49">
        <v>8</v>
      </c>
    </row>
    <row r="50" spans="1:3" x14ac:dyDescent="0.2">
      <c r="A50">
        <v>12.2418499170915</v>
      </c>
      <c r="B50">
        <v>0</v>
      </c>
      <c r="C50">
        <v>2</v>
      </c>
    </row>
    <row r="51" spans="1:3" x14ac:dyDescent="0.2">
      <c r="A51">
        <v>6.225510025137198</v>
      </c>
      <c r="B51">
        <v>10</v>
      </c>
      <c r="C51">
        <v>0</v>
      </c>
    </row>
    <row r="52" spans="1:3" x14ac:dyDescent="0.2">
      <c r="A52">
        <v>4.6149027803994533</v>
      </c>
      <c r="B52">
        <v>0</v>
      </c>
      <c r="C52">
        <v>8</v>
      </c>
    </row>
    <row r="53" spans="1:3" x14ac:dyDescent="0.2">
      <c r="A53">
        <v>7.1398927653986002</v>
      </c>
      <c r="B53">
        <v>0</v>
      </c>
      <c r="C53">
        <v>3</v>
      </c>
    </row>
    <row r="54" spans="1:3" x14ac:dyDescent="0.2">
      <c r="A54">
        <v>5.5597473222098648</v>
      </c>
      <c r="B54">
        <v>0</v>
      </c>
      <c r="C54">
        <v>5</v>
      </c>
    </row>
    <row r="55" spans="1:3" x14ac:dyDescent="0.2">
      <c r="A55">
        <v>4.8057988640579747</v>
      </c>
      <c r="B55">
        <v>0</v>
      </c>
      <c r="C55">
        <v>7</v>
      </c>
    </row>
    <row r="56" spans="1:3" x14ac:dyDescent="0.2">
      <c r="A56">
        <v>3.7651457160154123</v>
      </c>
      <c r="B56">
        <v>0</v>
      </c>
      <c r="C56">
        <v>6</v>
      </c>
    </row>
    <row r="57" spans="1:3" x14ac:dyDescent="0.2">
      <c r="A57">
        <v>5.4193437084323204</v>
      </c>
      <c r="B57">
        <v>8</v>
      </c>
      <c r="C57">
        <v>0</v>
      </c>
    </row>
    <row r="58" spans="1:3" x14ac:dyDescent="0.2">
      <c r="A58">
        <v>8.4629726791875264</v>
      </c>
      <c r="B58">
        <v>5</v>
      </c>
      <c r="C58">
        <v>0</v>
      </c>
    </row>
    <row r="59" spans="1:3" x14ac:dyDescent="0.2">
      <c r="A59">
        <v>8.2909610376356415</v>
      </c>
      <c r="B59">
        <v>0</v>
      </c>
      <c r="C59">
        <v>3</v>
      </c>
    </row>
    <row r="60" spans="1:3" x14ac:dyDescent="0.2">
      <c r="A60">
        <v>4.4400720188902261</v>
      </c>
      <c r="B60">
        <v>0</v>
      </c>
      <c r="C60">
        <v>7</v>
      </c>
    </row>
    <row r="61" spans="1:3" x14ac:dyDescent="0.2">
      <c r="A61">
        <v>6.9164621228767151</v>
      </c>
      <c r="B61">
        <v>0</v>
      </c>
      <c r="C61">
        <v>4</v>
      </c>
    </row>
    <row r="62" spans="1:3" x14ac:dyDescent="0.2">
      <c r="A62">
        <v>4.26031174978643</v>
      </c>
      <c r="B62">
        <v>0</v>
      </c>
      <c r="C62">
        <v>7</v>
      </c>
    </row>
    <row r="63" spans="1:3" x14ac:dyDescent="0.2">
      <c r="A63">
        <v>5.9552041501836452</v>
      </c>
      <c r="B63">
        <v>0</v>
      </c>
      <c r="C63">
        <v>5</v>
      </c>
    </row>
    <row r="64" spans="1:3" x14ac:dyDescent="0.2">
      <c r="A64">
        <v>8.2669628763852003</v>
      </c>
      <c r="B64">
        <v>0</v>
      </c>
      <c r="C64">
        <v>4</v>
      </c>
    </row>
    <row r="65" spans="1:3" x14ac:dyDescent="0.2">
      <c r="A65">
        <v>3.8896940381462786</v>
      </c>
      <c r="B65">
        <v>0</v>
      </c>
      <c r="C65">
        <v>7</v>
      </c>
    </row>
    <row r="66" spans="1:3" x14ac:dyDescent="0.2">
      <c r="A66">
        <v>3.4206027503637406</v>
      </c>
      <c r="B66">
        <v>16</v>
      </c>
      <c r="C66">
        <v>0</v>
      </c>
    </row>
    <row r="67" spans="1:3" x14ac:dyDescent="0.2">
      <c r="A67">
        <v>1.7916720078119022</v>
      </c>
      <c r="B67">
        <v>0</v>
      </c>
      <c r="C67">
        <v>8</v>
      </c>
    </row>
    <row r="68" spans="1:3" x14ac:dyDescent="0.2">
      <c r="A68">
        <v>7.6903184272809257</v>
      </c>
      <c r="B68">
        <v>0</v>
      </c>
      <c r="C68">
        <v>4</v>
      </c>
    </row>
    <row r="69" spans="1:3" x14ac:dyDescent="0.2">
      <c r="A69">
        <v>12.328838609933538</v>
      </c>
      <c r="B69">
        <v>0</v>
      </c>
      <c r="C69">
        <v>2</v>
      </c>
    </row>
    <row r="70" spans="1:3" x14ac:dyDescent="0.2">
      <c r="A70">
        <v>6.6787954528157467</v>
      </c>
      <c r="B70">
        <v>0</v>
      </c>
      <c r="C70">
        <v>6</v>
      </c>
    </row>
    <row r="71" spans="1:3" x14ac:dyDescent="0.2">
      <c r="A71">
        <v>10.100903051657342</v>
      </c>
      <c r="B71">
        <v>6</v>
      </c>
      <c r="C71">
        <v>0</v>
      </c>
    </row>
    <row r="72" spans="1:3" x14ac:dyDescent="0.2">
      <c r="A72">
        <v>4.4570031040447473</v>
      </c>
      <c r="B72">
        <v>0</v>
      </c>
      <c r="C72">
        <v>7</v>
      </c>
    </row>
    <row r="73" spans="1:3" x14ac:dyDescent="0.2">
      <c r="A73">
        <v>4.9711616868469894</v>
      </c>
      <c r="B73">
        <v>8</v>
      </c>
      <c r="C73">
        <v>0</v>
      </c>
    </row>
    <row r="74" spans="1:3" x14ac:dyDescent="0.2">
      <c r="A74">
        <v>4.2177398362499821</v>
      </c>
      <c r="B74">
        <v>0</v>
      </c>
      <c r="C74">
        <v>7</v>
      </c>
    </row>
    <row r="75" spans="1:3" x14ac:dyDescent="0.2">
      <c r="A75">
        <v>5.6711074759794222</v>
      </c>
      <c r="B75">
        <v>0</v>
      </c>
      <c r="C75">
        <v>7</v>
      </c>
    </row>
    <row r="76" spans="1:3" x14ac:dyDescent="0.2">
      <c r="A76">
        <v>7.9954519298168139</v>
      </c>
      <c r="B76">
        <v>0</v>
      </c>
      <c r="C76">
        <v>4</v>
      </c>
    </row>
    <row r="77" spans="1:3" x14ac:dyDescent="0.2">
      <c r="A77">
        <v>5.7051521456933143</v>
      </c>
      <c r="B77">
        <v>0</v>
      </c>
      <c r="C77">
        <v>3</v>
      </c>
    </row>
    <row r="78" spans="1:3" x14ac:dyDescent="0.2">
      <c r="A78">
        <v>6.4565229610965194</v>
      </c>
      <c r="B78">
        <v>0</v>
      </c>
      <c r="C78">
        <v>4</v>
      </c>
    </row>
    <row r="79" spans="1:3" x14ac:dyDescent="0.2">
      <c r="A79">
        <v>2.8752213335317509</v>
      </c>
      <c r="B79">
        <v>0</v>
      </c>
      <c r="C79">
        <v>7</v>
      </c>
    </row>
    <row r="80" spans="1:3" x14ac:dyDescent="0.2">
      <c r="A80">
        <v>10.033098602706769</v>
      </c>
      <c r="B80">
        <v>0</v>
      </c>
      <c r="C80">
        <v>2</v>
      </c>
    </row>
    <row r="81" spans="1:3" x14ac:dyDescent="0.2">
      <c r="A81">
        <v>5.3238870471038018</v>
      </c>
      <c r="B81">
        <v>0</v>
      </c>
      <c r="C81">
        <v>5</v>
      </c>
    </row>
    <row r="82" spans="1:3" x14ac:dyDescent="0.2">
      <c r="A82">
        <v>5.8622612944775616</v>
      </c>
      <c r="B82">
        <v>8</v>
      </c>
      <c r="C82">
        <v>0</v>
      </c>
    </row>
    <row r="83" spans="1:3" x14ac:dyDescent="0.2">
      <c r="A83">
        <v>6.6219422749670453</v>
      </c>
      <c r="B83">
        <v>0</v>
      </c>
      <c r="C83">
        <v>7</v>
      </c>
    </row>
    <row r="84" spans="1:3" x14ac:dyDescent="0.2">
      <c r="A84">
        <v>4.7376526422247185</v>
      </c>
      <c r="B84">
        <v>0</v>
      </c>
      <c r="C84">
        <v>10</v>
      </c>
    </row>
    <row r="85" spans="1:3" x14ac:dyDescent="0.2">
      <c r="A85">
        <v>5.3707194313031161</v>
      </c>
      <c r="B85">
        <v>9</v>
      </c>
      <c r="C85">
        <v>0</v>
      </c>
    </row>
    <row r="86" spans="1:3" x14ac:dyDescent="0.2">
      <c r="A86">
        <v>3.7466323699173141</v>
      </c>
      <c r="B86">
        <v>14</v>
      </c>
      <c r="C86">
        <v>0</v>
      </c>
    </row>
    <row r="87" spans="1:3" x14ac:dyDescent="0.2">
      <c r="A87">
        <v>6.7865024096956583</v>
      </c>
      <c r="B87">
        <v>0</v>
      </c>
      <c r="C87">
        <v>3</v>
      </c>
    </row>
    <row r="88" spans="1:3" x14ac:dyDescent="0.2">
      <c r="A88">
        <v>4.4904614921812227</v>
      </c>
      <c r="B88">
        <v>0</v>
      </c>
      <c r="C88">
        <v>6</v>
      </c>
    </row>
    <row r="89" spans="1:3" x14ac:dyDescent="0.2">
      <c r="A89">
        <v>2.225071750899871</v>
      </c>
      <c r="B89">
        <v>0</v>
      </c>
      <c r="C89">
        <v>9</v>
      </c>
    </row>
    <row r="90" spans="1:3" x14ac:dyDescent="0.2">
      <c r="A90">
        <v>6.9530039492755344</v>
      </c>
      <c r="B90">
        <v>0</v>
      </c>
      <c r="C90">
        <v>1</v>
      </c>
    </row>
    <row r="91" spans="1:3" x14ac:dyDescent="0.2">
      <c r="A91">
        <v>3.9743463705586666</v>
      </c>
      <c r="B91">
        <v>0</v>
      </c>
      <c r="C91">
        <v>10</v>
      </c>
    </row>
    <row r="92" spans="1:3" x14ac:dyDescent="0.2">
      <c r="A92">
        <v>5.0897779937909977</v>
      </c>
      <c r="B92">
        <v>0</v>
      </c>
      <c r="C92">
        <v>5</v>
      </c>
    </row>
    <row r="93" spans="1:3" x14ac:dyDescent="0.2">
      <c r="A93">
        <v>4.0375760349523073</v>
      </c>
      <c r="B93">
        <v>0</v>
      </c>
      <c r="C93">
        <v>8</v>
      </c>
    </row>
    <row r="94" spans="1:3" x14ac:dyDescent="0.2">
      <c r="A94">
        <v>5.2277304692627231</v>
      </c>
      <c r="B94">
        <v>0</v>
      </c>
      <c r="C94">
        <v>6</v>
      </c>
    </row>
    <row r="95" spans="1:3" x14ac:dyDescent="0.2">
      <c r="A95">
        <v>12.613762694793557</v>
      </c>
      <c r="B95">
        <v>5</v>
      </c>
      <c r="C95">
        <v>0</v>
      </c>
    </row>
    <row r="96" spans="1:3" x14ac:dyDescent="0.2">
      <c r="A96">
        <v>5.2065588555572635</v>
      </c>
      <c r="B96">
        <v>0</v>
      </c>
      <c r="C96">
        <v>5</v>
      </c>
    </row>
    <row r="97" spans="1:3" x14ac:dyDescent="0.2">
      <c r="A97">
        <v>3.298177576357411</v>
      </c>
      <c r="B97">
        <v>0</v>
      </c>
      <c r="C97">
        <v>6</v>
      </c>
    </row>
    <row r="98" spans="1:3" x14ac:dyDescent="0.2">
      <c r="A98">
        <v>4.0142229160592215</v>
      </c>
      <c r="B98">
        <v>11</v>
      </c>
      <c r="C98">
        <v>0</v>
      </c>
    </row>
    <row r="99" spans="1:3" x14ac:dyDescent="0.2">
      <c r="A99">
        <v>6.8024232748595717</v>
      </c>
      <c r="B99">
        <v>0</v>
      </c>
      <c r="C99">
        <v>4</v>
      </c>
    </row>
    <row r="100" spans="1:3" x14ac:dyDescent="0.2">
      <c r="A100">
        <v>3.794168540549419</v>
      </c>
      <c r="B100">
        <v>0</v>
      </c>
      <c r="C100">
        <v>9</v>
      </c>
    </row>
    <row r="101" spans="1:3" x14ac:dyDescent="0.2">
      <c r="A101">
        <v>15.781824170032218</v>
      </c>
      <c r="B101">
        <v>0</v>
      </c>
      <c r="C101">
        <v>2</v>
      </c>
    </row>
    <row r="102" spans="1:3" x14ac:dyDescent="0.2">
      <c r="A102">
        <v>5.041917192751888</v>
      </c>
      <c r="B102">
        <v>0</v>
      </c>
      <c r="C102">
        <v>8</v>
      </c>
    </row>
    <row r="103" spans="1:3" x14ac:dyDescent="0.2">
      <c r="A103">
        <v>4.0843454404786286</v>
      </c>
      <c r="B103">
        <v>0</v>
      </c>
      <c r="C103">
        <v>6</v>
      </c>
    </row>
    <row r="104" spans="1:3" x14ac:dyDescent="0.2">
      <c r="A104">
        <v>3.158901973432596</v>
      </c>
      <c r="B104">
        <v>15</v>
      </c>
      <c r="C104">
        <v>0</v>
      </c>
    </row>
    <row r="105" spans="1:3" x14ac:dyDescent="0.2">
      <c r="A105">
        <v>9.4780759740405909</v>
      </c>
      <c r="B105">
        <v>0</v>
      </c>
      <c r="C105">
        <v>3</v>
      </c>
    </row>
    <row r="106" spans="1:3" x14ac:dyDescent="0.2">
      <c r="A106">
        <v>8.3342939134260448</v>
      </c>
      <c r="B106">
        <v>0</v>
      </c>
      <c r="C106">
        <v>4</v>
      </c>
    </row>
    <row r="107" spans="1:3" x14ac:dyDescent="0.2">
      <c r="A107">
        <v>4.8771489959210959</v>
      </c>
      <c r="B107">
        <v>0</v>
      </c>
      <c r="C107">
        <v>7</v>
      </c>
    </row>
    <row r="108" spans="1:3" x14ac:dyDescent="0.2">
      <c r="A108">
        <v>4.082965419769355</v>
      </c>
      <c r="B108">
        <v>0</v>
      </c>
      <c r="C108">
        <v>7</v>
      </c>
    </row>
    <row r="109" spans="1:3" x14ac:dyDescent="0.2">
      <c r="A109">
        <v>8.6195134029933804</v>
      </c>
      <c r="B109">
        <v>4</v>
      </c>
      <c r="C109">
        <v>0</v>
      </c>
    </row>
    <row r="110" spans="1:3" x14ac:dyDescent="0.2">
      <c r="A110">
        <v>6.2082653338661355</v>
      </c>
      <c r="B110">
        <v>0</v>
      </c>
      <c r="C110">
        <v>5</v>
      </c>
    </row>
    <row r="111" spans="1:3" x14ac:dyDescent="0.2">
      <c r="A111">
        <v>12.183771793098835</v>
      </c>
      <c r="B111">
        <v>0</v>
      </c>
      <c r="C111">
        <v>2</v>
      </c>
    </row>
    <row r="112" spans="1:3" x14ac:dyDescent="0.2">
      <c r="A112">
        <v>4.0153706312811837</v>
      </c>
      <c r="B112">
        <v>0</v>
      </c>
      <c r="C112">
        <v>8</v>
      </c>
    </row>
    <row r="113" spans="1:3" x14ac:dyDescent="0.2">
      <c r="A113">
        <v>3.6455656229700049</v>
      </c>
      <c r="B113">
        <v>0</v>
      </c>
      <c r="C113">
        <v>8</v>
      </c>
    </row>
    <row r="114" spans="1:3" x14ac:dyDescent="0.2">
      <c r="A114">
        <v>4.4248836547373607</v>
      </c>
      <c r="B114">
        <v>0</v>
      </c>
      <c r="C114">
        <v>8</v>
      </c>
    </row>
    <row r="115" spans="1:3" x14ac:dyDescent="0.2">
      <c r="A115">
        <v>5.6444283653276246</v>
      </c>
      <c r="B115">
        <v>4</v>
      </c>
      <c r="C115">
        <v>0</v>
      </c>
    </row>
    <row r="116" spans="1:3" x14ac:dyDescent="0.2">
      <c r="A116">
        <v>7.890159669058626</v>
      </c>
      <c r="B116">
        <v>0</v>
      </c>
      <c r="C116">
        <v>4</v>
      </c>
    </row>
    <row r="117" spans="1:3" x14ac:dyDescent="0.2">
      <c r="A117">
        <v>8.3984522481677892</v>
      </c>
      <c r="B117">
        <v>7</v>
      </c>
      <c r="C117">
        <v>0</v>
      </c>
    </row>
    <row r="118" spans="1:3" x14ac:dyDescent="0.2">
      <c r="A118">
        <v>4.0701912720895592</v>
      </c>
      <c r="B118">
        <v>0</v>
      </c>
      <c r="C118">
        <v>8</v>
      </c>
    </row>
    <row r="119" spans="1:3" x14ac:dyDescent="0.2">
      <c r="A119">
        <v>4.6015025346679082</v>
      </c>
      <c r="B119">
        <v>0</v>
      </c>
      <c r="C119">
        <v>7</v>
      </c>
    </row>
    <row r="120" spans="1:3" x14ac:dyDescent="0.2">
      <c r="A120">
        <v>4.4043894300606015</v>
      </c>
      <c r="B120">
        <v>0</v>
      </c>
      <c r="C120">
        <v>8</v>
      </c>
    </row>
    <row r="121" spans="1:3" x14ac:dyDescent="0.2">
      <c r="A121">
        <v>9.9840525589886049</v>
      </c>
      <c r="B121">
        <v>0</v>
      </c>
      <c r="C121">
        <v>3</v>
      </c>
    </row>
    <row r="122" spans="1:3" x14ac:dyDescent="0.2">
      <c r="A122">
        <v>4.8528587124103977</v>
      </c>
      <c r="B122">
        <v>12</v>
      </c>
      <c r="C122">
        <v>0</v>
      </c>
    </row>
    <row r="123" spans="1:3" x14ac:dyDescent="0.2">
      <c r="A123">
        <v>3.595014156796311</v>
      </c>
      <c r="B123">
        <v>0</v>
      </c>
      <c r="C123">
        <v>9</v>
      </c>
    </row>
    <row r="124" spans="1:3" x14ac:dyDescent="0.2">
      <c r="A124">
        <v>4.3248890307019208</v>
      </c>
      <c r="B124">
        <v>0</v>
      </c>
      <c r="C124">
        <v>8</v>
      </c>
    </row>
    <row r="125" spans="1:3" x14ac:dyDescent="0.2">
      <c r="A125">
        <v>9.8027025425827716</v>
      </c>
      <c r="B125">
        <v>0</v>
      </c>
      <c r="C125">
        <v>4</v>
      </c>
    </row>
    <row r="126" spans="1:3" x14ac:dyDescent="0.2">
      <c r="A126">
        <v>6.7037682295269008</v>
      </c>
      <c r="B126">
        <v>7</v>
      </c>
      <c r="C126">
        <v>0</v>
      </c>
    </row>
    <row r="127" spans="1:3" x14ac:dyDescent="0.2">
      <c r="A127">
        <v>6.9415531283814387</v>
      </c>
      <c r="B127">
        <v>0</v>
      </c>
      <c r="C127">
        <v>3</v>
      </c>
    </row>
    <row r="128" spans="1:3" x14ac:dyDescent="0.2">
      <c r="A128">
        <v>4.0083353743622325</v>
      </c>
      <c r="B128">
        <v>0</v>
      </c>
      <c r="C128">
        <v>10</v>
      </c>
    </row>
    <row r="129" spans="1:3" x14ac:dyDescent="0.2">
      <c r="A129">
        <v>6.1487589201141404</v>
      </c>
      <c r="B129">
        <v>0</v>
      </c>
      <c r="C129">
        <v>7</v>
      </c>
    </row>
    <row r="130" spans="1:3" x14ac:dyDescent="0.2">
      <c r="A130">
        <v>4.6269467836268392</v>
      </c>
      <c r="B130">
        <v>0</v>
      </c>
      <c r="C130">
        <v>9</v>
      </c>
    </row>
    <row r="131" spans="1:3" x14ac:dyDescent="0.2">
      <c r="A131">
        <v>6.3673506250300314</v>
      </c>
      <c r="B131">
        <v>0</v>
      </c>
      <c r="C131">
        <v>6</v>
      </c>
    </row>
    <row r="132" spans="1:3" x14ac:dyDescent="0.2">
      <c r="A132">
        <v>3.7255134739848814</v>
      </c>
      <c r="B132">
        <v>13</v>
      </c>
      <c r="C132">
        <v>0</v>
      </c>
    </row>
    <row r="133" spans="1:3" x14ac:dyDescent="0.2">
      <c r="A133">
        <v>13.298073806622343</v>
      </c>
      <c r="B133">
        <v>0</v>
      </c>
      <c r="C133">
        <v>1</v>
      </c>
    </row>
    <row r="134" spans="1:3" x14ac:dyDescent="0.2">
      <c r="A134">
        <v>5.8899391214152192</v>
      </c>
      <c r="B134">
        <v>0</v>
      </c>
      <c r="C134">
        <v>5</v>
      </c>
    </row>
    <row r="135" spans="1:3" x14ac:dyDescent="0.2">
      <c r="A135">
        <v>7.7498473573128903</v>
      </c>
      <c r="B135">
        <v>5</v>
      </c>
      <c r="C135">
        <v>0</v>
      </c>
    </row>
    <row r="136" spans="1:3" x14ac:dyDescent="0.2">
      <c r="A136">
        <v>4.1972815350129906</v>
      </c>
      <c r="B136">
        <v>0</v>
      </c>
      <c r="C136">
        <v>8</v>
      </c>
    </row>
    <row r="137" spans="1:3" x14ac:dyDescent="0.2">
      <c r="A137">
        <v>6.8283134425669179</v>
      </c>
      <c r="B137">
        <v>6</v>
      </c>
      <c r="C137">
        <v>0</v>
      </c>
    </row>
    <row r="138" spans="1:3" x14ac:dyDescent="0.2">
      <c r="A138">
        <v>4.1418646857479278</v>
      </c>
      <c r="B138">
        <v>0</v>
      </c>
      <c r="C138">
        <v>7</v>
      </c>
    </row>
    <row r="139" spans="1:3" x14ac:dyDescent="0.2">
      <c r="A139">
        <v>4.4461216826554137</v>
      </c>
      <c r="B139">
        <v>0</v>
      </c>
      <c r="C139">
        <v>9</v>
      </c>
    </row>
    <row r="140" spans="1:3" x14ac:dyDescent="0.2">
      <c r="A140">
        <v>3.8641091615031384</v>
      </c>
      <c r="B140">
        <v>0</v>
      </c>
      <c r="C140">
        <v>9</v>
      </c>
    </row>
    <row r="141" spans="1:3" x14ac:dyDescent="0.2">
      <c r="A141">
        <v>7.5919901824288356</v>
      </c>
      <c r="B141">
        <v>4</v>
      </c>
      <c r="C141">
        <v>0</v>
      </c>
    </row>
    <row r="142" spans="1:3" x14ac:dyDescent="0.2">
      <c r="A142">
        <v>3.2623169217268542</v>
      </c>
      <c r="B142">
        <v>0</v>
      </c>
      <c r="C142">
        <v>7</v>
      </c>
    </row>
    <row r="143" spans="1:3" x14ac:dyDescent="0.2">
      <c r="A143">
        <v>4.0221530215760124</v>
      </c>
      <c r="B143">
        <v>9</v>
      </c>
      <c r="C143">
        <v>0</v>
      </c>
    </row>
    <row r="144" spans="1:3" x14ac:dyDescent="0.2">
      <c r="A144">
        <v>9.261309405211243</v>
      </c>
      <c r="B144">
        <v>0</v>
      </c>
      <c r="C144">
        <v>4</v>
      </c>
    </row>
    <row r="145" spans="1:3" x14ac:dyDescent="0.2">
      <c r="A145">
        <v>3.6243314958670312</v>
      </c>
      <c r="B145">
        <v>0</v>
      </c>
      <c r="C145">
        <v>8</v>
      </c>
    </row>
    <row r="146" spans="1:3" x14ac:dyDescent="0.2">
      <c r="A146">
        <v>6.6014857722543683</v>
      </c>
      <c r="B146">
        <v>0</v>
      </c>
      <c r="C146">
        <v>5</v>
      </c>
    </row>
    <row r="147" spans="1:3" x14ac:dyDescent="0.2">
      <c r="A147">
        <v>8.0550258652057281</v>
      </c>
      <c r="B147">
        <v>0</v>
      </c>
      <c r="C147">
        <v>3</v>
      </c>
    </row>
    <row r="148" spans="1:3" x14ac:dyDescent="0.2">
      <c r="A148">
        <v>6.5333135290969144</v>
      </c>
      <c r="B148">
        <v>0</v>
      </c>
      <c r="C148">
        <v>7</v>
      </c>
    </row>
    <row r="149" spans="1:3" x14ac:dyDescent="0.2">
      <c r="A149">
        <v>3.0765902907433254</v>
      </c>
      <c r="B149">
        <v>0</v>
      </c>
      <c r="C149">
        <v>9</v>
      </c>
    </row>
    <row r="150" spans="1:3" x14ac:dyDescent="0.2">
      <c r="A150">
        <v>7.4899488289255496</v>
      </c>
      <c r="B150">
        <v>0</v>
      </c>
      <c r="C150">
        <v>3</v>
      </c>
    </row>
    <row r="151" spans="1:3" x14ac:dyDescent="0.2">
      <c r="A151">
        <v>6.357417532865874</v>
      </c>
      <c r="B151">
        <v>0</v>
      </c>
      <c r="C151">
        <v>7</v>
      </c>
    </row>
    <row r="152" spans="1:3" x14ac:dyDescent="0.2">
      <c r="A152">
        <v>5.4082029179755837</v>
      </c>
      <c r="B152">
        <v>15</v>
      </c>
      <c r="C152">
        <v>0</v>
      </c>
    </row>
    <row r="153" spans="1:3" x14ac:dyDescent="0.2">
      <c r="A153">
        <v>11.799356059099457</v>
      </c>
      <c r="B153">
        <v>2</v>
      </c>
      <c r="C153">
        <v>0</v>
      </c>
    </row>
    <row r="154" spans="1:3" x14ac:dyDescent="0.2">
      <c r="A154">
        <v>8.3768854800374548</v>
      </c>
      <c r="B154">
        <v>0</v>
      </c>
      <c r="C154">
        <v>5</v>
      </c>
    </row>
    <row r="155" spans="1:3" x14ac:dyDescent="0.2">
      <c r="A155">
        <v>6.9284883678687823</v>
      </c>
      <c r="B155">
        <v>0</v>
      </c>
      <c r="C155">
        <v>4</v>
      </c>
    </row>
    <row r="156" spans="1:3" x14ac:dyDescent="0.2">
      <c r="A156">
        <v>5.6771358974623869</v>
      </c>
      <c r="B156">
        <v>13</v>
      </c>
      <c r="C156">
        <v>0</v>
      </c>
    </row>
    <row r="157" spans="1:3" x14ac:dyDescent="0.2">
      <c r="A157">
        <v>6.7786809808348494</v>
      </c>
      <c r="B157">
        <v>8</v>
      </c>
      <c r="C157">
        <v>0</v>
      </c>
    </row>
    <row r="158" spans="1:3" x14ac:dyDescent="0.2">
      <c r="A158">
        <v>8.0204868229608408</v>
      </c>
      <c r="B158">
        <v>0</v>
      </c>
      <c r="C158">
        <v>1</v>
      </c>
    </row>
    <row r="159" spans="1:3" x14ac:dyDescent="0.2">
      <c r="A159">
        <v>5.4398802473097803</v>
      </c>
      <c r="B159">
        <v>0</v>
      </c>
      <c r="C159">
        <v>8</v>
      </c>
    </row>
    <row r="160" spans="1:3" x14ac:dyDescent="0.2">
      <c r="A160">
        <v>5.0326004988696411</v>
      </c>
      <c r="B160">
        <v>0</v>
      </c>
      <c r="C160">
        <v>8</v>
      </c>
    </row>
    <row r="161" spans="1:3" x14ac:dyDescent="0.2">
      <c r="A161">
        <v>4.607135713603598</v>
      </c>
      <c r="B161">
        <v>10</v>
      </c>
      <c r="C161">
        <v>0</v>
      </c>
    </row>
    <row r="162" spans="1:3" x14ac:dyDescent="0.2">
      <c r="A162">
        <v>3.0763266981965836</v>
      </c>
      <c r="B162">
        <v>18</v>
      </c>
      <c r="C162">
        <v>0</v>
      </c>
    </row>
    <row r="163" spans="1:3" x14ac:dyDescent="0.2">
      <c r="A163">
        <v>7.7400191921287078</v>
      </c>
      <c r="B163">
        <v>8</v>
      </c>
      <c r="C163">
        <v>0</v>
      </c>
    </row>
    <row r="164" spans="1:3" x14ac:dyDescent="0.2">
      <c r="A164">
        <v>6.5544198837252345</v>
      </c>
      <c r="B164">
        <v>0</v>
      </c>
      <c r="C164">
        <v>4</v>
      </c>
    </row>
    <row r="165" spans="1:3" x14ac:dyDescent="0.2">
      <c r="A165">
        <v>5.1741659006097045</v>
      </c>
      <c r="B165">
        <v>0</v>
      </c>
      <c r="C165">
        <v>6</v>
      </c>
    </row>
    <row r="166" spans="1:3" x14ac:dyDescent="0.2">
      <c r="A166">
        <v>3.0555160222538063</v>
      </c>
      <c r="B166">
        <v>0</v>
      </c>
      <c r="C166">
        <v>9</v>
      </c>
    </row>
    <row r="167" spans="1:3" x14ac:dyDescent="0.2">
      <c r="A167">
        <v>6.8431480360754504</v>
      </c>
      <c r="B167">
        <v>10</v>
      </c>
      <c r="C167">
        <v>0</v>
      </c>
    </row>
    <row r="168" spans="1:3" x14ac:dyDescent="0.2">
      <c r="A168">
        <v>6.5281868571185191</v>
      </c>
      <c r="B168">
        <v>0</v>
      </c>
      <c r="C168">
        <v>6</v>
      </c>
    </row>
    <row r="169" spans="1:3" x14ac:dyDescent="0.2">
      <c r="A169">
        <v>4.6665362587950794</v>
      </c>
      <c r="B169">
        <v>0</v>
      </c>
      <c r="C169">
        <v>6</v>
      </c>
    </row>
    <row r="170" spans="1:3" x14ac:dyDescent="0.2">
      <c r="A170">
        <v>8.07307199675334</v>
      </c>
      <c r="B170">
        <v>11</v>
      </c>
      <c r="C170">
        <v>0</v>
      </c>
    </row>
    <row r="171" spans="1:3" x14ac:dyDescent="0.2">
      <c r="A171">
        <v>3.5092341539276464</v>
      </c>
      <c r="B171">
        <v>0</v>
      </c>
      <c r="C171">
        <v>9</v>
      </c>
    </row>
    <row r="172" spans="1:3" x14ac:dyDescent="0.2">
      <c r="A172">
        <v>4.5695628845177971</v>
      </c>
      <c r="B172">
        <v>0</v>
      </c>
      <c r="C172">
        <v>9</v>
      </c>
    </row>
    <row r="173" spans="1:3" x14ac:dyDescent="0.2">
      <c r="A173">
        <v>4.6481196110887817</v>
      </c>
      <c r="B173">
        <v>0</v>
      </c>
      <c r="C173">
        <v>8</v>
      </c>
    </row>
    <row r="174" spans="1:3" x14ac:dyDescent="0.2">
      <c r="A174">
        <v>4.9919124573429414</v>
      </c>
      <c r="B174">
        <v>0</v>
      </c>
      <c r="C174">
        <v>4</v>
      </c>
    </row>
    <row r="175" spans="1:3" x14ac:dyDescent="0.2">
      <c r="A175">
        <v>5.6746615474154991</v>
      </c>
      <c r="B175">
        <v>11</v>
      </c>
      <c r="C175">
        <v>0</v>
      </c>
    </row>
    <row r="176" spans="1:3" x14ac:dyDescent="0.2">
      <c r="A176">
        <v>10.136175077115603</v>
      </c>
      <c r="B176">
        <v>0</v>
      </c>
      <c r="C176">
        <v>2</v>
      </c>
    </row>
    <row r="177" spans="1:3" x14ac:dyDescent="0.2">
      <c r="A177">
        <v>8.5224268140515296</v>
      </c>
      <c r="B177">
        <v>0</v>
      </c>
      <c r="C177">
        <v>3</v>
      </c>
    </row>
    <row r="178" spans="1:3" x14ac:dyDescent="0.2">
      <c r="A178">
        <v>2.7768932174588481</v>
      </c>
      <c r="B178">
        <v>13</v>
      </c>
      <c r="C178">
        <v>0</v>
      </c>
    </row>
    <row r="179" spans="1:3" x14ac:dyDescent="0.2">
      <c r="A179">
        <v>4.1274542585392462</v>
      </c>
      <c r="B179">
        <v>0</v>
      </c>
      <c r="C179">
        <v>6</v>
      </c>
    </row>
    <row r="180" spans="1:3" x14ac:dyDescent="0.2">
      <c r="A180">
        <v>6.4202786595746373</v>
      </c>
      <c r="B180">
        <v>0</v>
      </c>
      <c r="C180">
        <v>6</v>
      </c>
    </row>
    <row r="181" spans="1:3" x14ac:dyDescent="0.2">
      <c r="A181">
        <v>6.3940694068268584</v>
      </c>
      <c r="B181">
        <v>0</v>
      </c>
      <c r="C181">
        <v>4</v>
      </c>
    </row>
    <row r="182" spans="1:3" x14ac:dyDescent="0.2">
      <c r="A182">
        <v>5.3776702320670582</v>
      </c>
      <c r="B182">
        <v>0</v>
      </c>
      <c r="C182">
        <v>6</v>
      </c>
    </row>
    <row r="183" spans="1:3" x14ac:dyDescent="0.2">
      <c r="A183">
        <v>4.116369732332064</v>
      </c>
      <c r="B183">
        <v>12</v>
      </c>
      <c r="C183">
        <v>0</v>
      </c>
    </row>
    <row r="184" spans="1:3" x14ac:dyDescent="0.2">
      <c r="A184">
        <v>6.7222726355684026</v>
      </c>
      <c r="B184">
        <v>0</v>
      </c>
      <c r="C184">
        <v>1</v>
      </c>
    </row>
    <row r="185" spans="1:3" x14ac:dyDescent="0.2">
      <c r="A185">
        <v>4.5167688554405521</v>
      </c>
      <c r="B185">
        <v>0</v>
      </c>
      <c r="C185">
        <v>8</v>
      </c>
    </row>
    <row r="186" spans="1:3" x14ac:dyDescent="0.2">
      <c r="A186">
        <v>6.2874223460473333</v>
      </c>
      <c r="B186">
        <v>9</v>
      </c>
      <c r="C186">
        <v>0</v>
      </c>
    </row>
    <row r="187" spans="1:3" x14ac:dyDescent="0.2">
      <c r="A187">
        <v>3.6017821591787653</v>
      </c>
      <c r="B187">
        <v>0</v>
      </c>
      <c r="C187">
        <v>7</v>
      </c>
    </row>
    <row r="188" spans="1:3" x14ac:dyDescent="0.2">
      <c r="A188">
        <v>4.8478682981163121</v>
      </c>
      <c r="B188">
        <v>0</v>
      </c>
      <c r="C188">
        <v>6</v>
      </c>
    </row>
    <row r="189" spans="1:3" x14ac:dyDescent="0.2">
      <c r="A189">
        <v>14.717950661175401</v>
      </c>
      <c r="B189">
        <v>0</v>
      </c>
      <c r="C189">
        <v>3</v>
      </c>
    </row>
    <row r="190" spans="1:3" x14ac:dyDescent="0.2">
      <c r="A190">
        <v>3.4023713911312492</v>
      </c>
      <c r="B190">
        <v>0</v>
      </c>
      <c r="C190">
        <v>9</v>
      </c>
    </row>
    <row r="191" spans="1:3" x14ac:dyDescent="0.2">
      <c r="A191">
        <v>4.9404942236528093</v>
      </c>
      <c r="B191">
        <v>12</v>
      </c>
      <c r="C191">
        <v>0</v>
      </c>
    </row>
    <row r="192" spans="1:3" x14ac:dyDescent="0.2">
      <c r="A192">
        <v>5.1246958337888131</v>
      </c>
      <c r="B192">
        <v>9</v>
      </c>
      <c r="C192">
        <v>0</v>
      </c>
    </row>
    <row r="193" spans="1:3" x14ac:dyDescent="0.2">
      <c r="A193">
        <v>11.786744566111214</v>
      </c>
      <c r="B193">
        <v>0</v>
      </c>
      <c r="C193">
        <v>1</v>
      </c>
    </row>
    <row r="194" spans="1:3" x14ac:dyDescent="0.2">
      <c r="A194">
        <v>8.769007696637459</v>
      </c>
      <c r="B194">
        <v>6</v>
      </c>
      <c r="C194">
        <v>0</v>
      </c>
    </row>
    <row r="195" spans="1:3" x14ac:dyDescent="0.2">
      <c r="A195">
        <v>4.8020145772519092</v>
      </c>
      <c r="B195">
        <v>10</v>
      </c>
      <c r="C195">
        <v>0</v>
      </c>
    </row>
    <row r="196" spans="1:3" x14ac:dyDescent="0.2">
      <c r="A196">
        <v>8.0404198011237256</v>
      </c>
      <c r="B196">
        <v>0</v>
      </c>
      <c r="C196">
        <v>4</v>
      </c>
    </row>
    <row r="197" spans="1:3" x14ac:dyDescent="0.2">
      <c r="A197">
        <v>6.3731411438083434</v>
      </c>
      <c r="B197">
        <v>0</v>
      </c>
      <c r="C197">
        <v>3</v>
      </c>
    </row>
    <row r="198" spans="1:3" x14ac:dyDescent="0.2">
      <c r="A198">
        <v>4.4328624329389985</v>
      </c>
      <c r="B198">
        <v>0</v>
      </c>
      <c r="C198">
        <v>6</v>
      </c>
    </row>
    <row r="199" spans="1:3" x14ac:dyDescent="0.2">
      <c r="A199">
        <v>8.8463097617892146</v>
      </c>
      <c r="B199">
        <v>6</v>
      </c>
      <c r="C199">
        <v>0</v>
      </c>
    </row>
    <row r="200" spans="1:3" x14ac:dyDescent="0.2">
      <c r="A200">
        <v>7.0421970872101429</v>
      </c>
      <c r="B200">
        <v>9</v>
      </c>
      <c r="C200">
        <v>0</v>
      </c>
    </row>
    <row r="201" spans="1:3" x14ac:dyDescent="0.2">
      <c r="A201">
        <v>5.8530908485265742</v>
      </c>
      <c r="B201">
        <v>0</v>
      </c>
      <c r="C201">
        <v>4</v>
      </c>
    </row>
    <row r="202" spans="1:3" x14ac:dyDescent="0.2">
      <c r="A202">
        <v>5.6702214745709387</v>
      </c>
      <c r="B202">
        <v>0</v>
      </c>
      <c r="C202">
        <v>5</v>
      </c>
    </row>
    <row r="203" spans="1:3" x14ac:dyDescent="0.2">
      <c r="A203">
        <v>5.5428227050196446</v>
      </c>
      <c r="B203">
        <v>0</v>
      </c>
      <c r="C203">
        <v>3</v>
      </c>
    </row>
    <row r="204" spans="1:3" x14ac:dyDescent="0.2">
      <c r="A204">
        <v>3.1300674463543636</v>
      </c>
      <c r="B204">
        <v>0</v>
      </c>
      <c r="C204">
        <v>8</v>
      </c>
    </row>
    <row r="205" spans="1:3" x14ac:dyDescent="0.2">
      <c r="A205">
        <v>10.107478576656106</v>
      </c>
      <c r="B205">
        <v>3</v>
      </c>
      <c r="C205">
        <v>0</v>
      </c>
    </row>
    <row r="206" spans="1:3" x14ac:dyDescent="0.2">
      <c r="A206">
        <v>4.5283020854037073</v>
      </c>
      <c r="B206">
        <v>0</v>
      </c>
      <c r="C206">
        <v>6</v>
      </c>
    </row>
    <row r="207" spans="1:3" x14ac:dyDescent="0.2">
      <c r="A207">
        <v>4.54728174759083</v>
      </c>
      <c r="B207">
        <v>0</v>
      </c>
      <c r="C207">
        <v>8</v>
      </c>
    </row>
    <row r="208" spans="1:3" x14ac:dyDescent="0.2">
      <c r="A208">
        <v>5.116801436984149</v>
      </c>
      <c r="B208">
        <v>0</v>
      </c>
      <c r="C208">
        <v>7</v>
      </c>
    </row>
    <row r="209" spans="1:3" x14ac:dyDescent="0.2">
      <c r="A209">
        <v>4.0224246763071818</v>
      </c>
      <c r="B209">
        <v>0</v>
      </c>
      <c r="C209">
        <v>8</v>
      </c>
    </row>
    <row r="210" spans="1:3" x14ac:dyDescent="0.2">
      <c r="A210">
        <v>6.2019906438484904</v>
      </c>
      <c r="B210">
        <v>0</v>
      </c>
      <c r="C210">
        <v>5</v>
      </c>
    </row>
    <row r="211" spans="1:3" x14ac:dyDescent="0.2">
      <c r="A211">
        <v>9.8461411369719301</v>
      </c>
      <c r="B211">
        <v>0</v>
      </c>
      <c r="C211">
        <v>3</v>
      </c>
    </row>
    <row r="212" spans="1:3" x14ac:dyDescent="0.2">
      <c r="A212">
        <v>3.7421599780930173</v>
      </c>
      <c r="B212">
        <v>0</v>
      </c>
      <c r="C212">
        <v>8</v>
      </c>
    </row>
    <row r="213" spans="1:3" x14ac:dyDescent="0.2">
      <c r="A213">
        <v>6.4058669821473808</v>
      </c>
      <c r="B213">
        <v>10</v>
      </c>
      <c r="C213">
        <v>0</v>
      </c>
    </row>
    <row r="214" spans="1:3" x14ac:dyDescent="0.2">
      <c r="A214">
        <v>5.691159284359455</v>
      </c>
      <c r="B214">
        <v>0</v>
      </c>
      <c r="C214">
        <v>5</v>
      </c>
    </row>
    <row r="215" spans="1:3" x14ac:dyDescent="0.2">
      <c r="A215">
        <v>3.026836195804874</v>
      </c>
      <c r="B215">
        <v>13</v>
      </c>
      <c r="C215">
        <v>0</v>
      </c>
    </row>
    <row r="216" spans="1:3" x14ac:dyDescent="0.2">
      <c r="A216">
        <v>4.9955735432676782</v>
      </c>
      <c r="B216">
        <v>0</v>
      </c>
      <c r="C216">
        <v>5</v>
      </c>
    </row>
    <row r="217" spans="1:3" x14ac:dyDescent="0.2">
      <c r="A217">
        <v>5.4753206496241535</v>
      </c>
      <c r="B217">
        <v>0</v>
      </c>
      <c r="C217">
        <v>7</v>
      </c>
    </row>
    <row r="218" spans="1:3" x14ac:dyDescent="0.2">
      <c r="A218">
        <v>3.3305308940764546</v>
      </c>
      <c r="B218">
        <v>0</v>
      </c>
      <c r="C218">
        <v>9</v>
      </c>
    </row>
    <row r="219" spans="1:3" x14ac:dyDescent="0.2">
      <c r="A219">
        <v>4.3155212308538715</v>
      </c>
      <c r="B219">
        <v>0</v>
      </c>
      <c r="C219">
        <v>8</v>
      </c>
    </row>
    <row r="220" spans="1:3" x14ac:dyDescent="0.2">
      <c r="A220">
        <v>10.285403742409532</v>
      </c>
      <c r="B220">
        <v>6</v>
      </c>
      <c r="C220">
        <v>0</v>
      </c>
    </row>
    <row r="221" spans="1:3" x14ac:dyDescent="0.2">
      <c r="A221">
        <v>1.9687595191186997</v>
      </c>
      <c r="B221">
        <v>16</v>
      </c>
      <c r="C221">
        <v>0</v>
      </c>
    </row>
    <row r="222" spans="1:3" x14ac:dyDescent="0.2">
      <c r="A222">
        <v>3.9333384100673032</v>
      </c>
      <c r="B222">
        <v>0</v>
      </c>
      <c r="C222">
        <v>9</v>
      </c>
    </row>
    <row r="223" spans="1:3" x14ac:dyDescent="0.2">
      <c r="A223">
        <v>5.2804372859533331</v>
      </c>
      <c r="B223">
        <v>0</v>
      </c>
      <c r="C223">
        <v>6</v>
      </c>
    </row>
    <row r="224" spans="1:3" x14ac:dyDescent="0.2">
      <c r="A224">
        <v>3.9596729895408855</v>
      </c>
      <c r="B224">
        <v>17</v>
      </c>
      <c r="C224">
        <v>0</v>
      </c>
    </row>
    <row r="225" spans="1:3" x14ac:dyDescent="0.2">
      <c r="A225">
        <v>9.5082501678106919</v>
      </c>
      <c r="B225">
        <v>2</v>
      </c>
      <c r="C225">
        <v>0</v>
      </c>
    </row>
    <row r="226" spans="1:3" x14ac:dyDescent="0.2">
      <c r="A226">
        <v>5.181339460056722</v>
      </c>
      <c r="B226">
        <v>11</v>
      </c>
      <c r="C226">
        <v>0</v>
      </c>
    </row>
    <row r="227" spans="1:3" x14ac:dyDescent="0.2">
      <c r="A227">
        <v>6.6221746875601477</v>
      </c>
      <c r="B227">
        <v>9</v>
      </c>
      <c r="C227">
        <v>0</v>
      </c>
    </row>
    <row r="228" spans="1:3" x14ac:dyDescent="0.2">
      <c r="A228">
        <v>3.7296970886388352</v>
      </c>
      <c r="B228">
        <v>0</v>
      </c>
      <c r="C228">
        <v>7</v>
      </c>
    </row>
    <row r="229" spans="1:3" x14ac:dyDescent="0.2">
      <c r="A229">
        <v>10.81583965991455</v>
      </c>
      <c r="B229">
        <v>2</v>
      </c>
      <c r="C229">
        <v>0</v>
      </c>
    </row>
    <row r="230" spans="1:3" x14ac:dyDescent="0.2">
      <c r="A230">
        <v>6.7003153886042695</v>
      </c>
      <c r="B230">
        <v>0</v>
      </c>
      <c r="C230">
        <v>5</v>
      </c>
    </row>
    <row r="231" spans="1:3" x14ac:dyDescent="0.2">
      <c r="A231">
        <v>2.9928793015535859</v>
      </c>
      <c r="B231">
        <v>0</v>
      </c>
      <c r="C231">
        <v>7</v>
      </c>
    </row>
    <row r="232" spans="1:3" x14ac:dyDescent="0.2">
      <c r="A232">
        <v>4.1401787612403327</v>
      </c>
      <c r="B232">
        <v>9</v>
      </c>
      <c r="C232">
        <v>0</v>
      </c>
    </row>
    <row r="233" spans="1:3" x14ac:dyDescent="0.2">
      <c r="A233">
        <v>6.8012697707305296</v>
      </c>
      <c r="B233">
        <v>11</v>
      </c>
      <c r="C233">
        <v>0</v>
      </c>
    </row>
    <row r="234" spans="1:3" x14ac:dyDescent="0.2">
      <c r="A234">
        <v>9.1794983361732569</v>
      </c>
      <c r="B234">
        <v>6</v>
      </c>
      <c r="C234">
        <v>0</v>
      </c>
    </row>
    <row r="235" spans="1:3" x14ac:dyDescent="0.2">
      <c r="A235">
        <v>9.4202707957252798</v>
      </c>
      <c r="B235">
        <v>3</v>
      </c>
      <c r="C235">
        <v>0</v>
      </c>
    </row>
    <row r="236" spans="1:3" x14ac:dyDescent="0.2">
      <c r="A236">
        <v>6.689980035253412</v>
      </c>
      <c r="B236">
        <v>7</v>
      </c>
      <c r="C236">
        <v>0</v>
      </c>
    </row>
    <row r="237" spans="1:3" x14ac:dyDescent="0.2">
      <c r="A237">
        <v>8.037388321065654</v>
      </c>
      <c r="B237">
        <v>0</v>
      </c>
      <c r="C237">
        <v>3</v>
      </c>
    </row>
    <row r="238" spans="1:3" x14ac:dyDescent="0.2">
      <c r="A238">
        <v>3.6178831364661241</v>
      </c>
      <c r="B238">
        <v>0</v>
      </c>
      <c r="C238">
        <v>7</v>
      </c>
    </row>
    <row r="239" spans="1:3" x14ac:dyDescent="0.2">
      <c r="A239">
        <v>4.4481344043824134</v>
      </c>
      <c r="B239">
        <v>7</v>
      </c>
      <c r="C239">
        <v>0</v>
      </c>
    </row>
    <row r="240" spans="1:3" x14ac:dyDescent="0.2">
      <c r="A240">
        <v>5.1571996935216511</v>
      </c>
      <c r="B240">
        <v>0</v>
      </c>
      <c r="C240">
        <v>4</v>
      </c>
    </row>
    <row r="241" spans="1:3" x14ac:dyDescent="0.2">
      <c r="A241">
        <v>3.6761314042287134</v>
      </c>
      <c r="B241">
        <v>0</v>
      </c>
      <c r="C241">
        <v>5</v>
      </c>
    </row>
    <row r="242" spans="1:3" x14ac:dyDescent="0.2">
      <c r="A242">
        <v>12.748963122427529</v>
      </c>
      <c r="B242">
        <v>4</v>
      </c>
      <c r="C242">
        <v>0</v>
      </c>
    </row>
    <row r="243" spans="1:3" x14ac:dyDescent="0.2">
      <c r="A243">
        <v>4.7510245815168126</v>
      </c>
      <c r="B243">
        <v>0</v>
      </c>
      <c r="C243">
        <v>6</v>
      </c>
    </row>
    <row r="244" spans="1:3" x14ac:dyDescent="0.2">
      <c r="A244">
        <v>3.2566704010924754</v>
      </c>
      <c r="B244">
        <v>0</v>
      </c>
      <c r="C244">
        <v>9</v>
      </c>
    </row>
    <row r="245" spans="1:3" x14ac:dyDescent="0.2">
      <c r="A245">
        <v>5.1781463404361423</v>
      </c>
      <c r="B245">
        <v>7</v>
      </c>
      <c r="C245">
        <v>0</v>
      </c>
    </row>
    <row r="246" spans="1:3" x14ac:dyDescent="0.2">
      <c r="A246">
        <v>8.2864546667238113</v>
      </c>
      <c r="B246">
        <v>0</v>
      </c>
      <c r="C246">
        <v>5</v>
      </c>
    </row>
    <row r="247" spans="1:3" x14ac:dyDescent="0.2">
      <c r="A247">
        <v>4.3093024080389002</v>
      </c>
      <c r="B247">
        <v>0</v>
      </c>
      <c r="C247">
        <v>7</v>
      </c>
    </row>
    <row r="248" spans="1:3" x14ac:dyDescent="0.2">
      <c r="A248">
        <v>4.4723974554285109</v>
      </c>
      <c r="B248">
        <v>0</v>
      </c>
      <c r="C248">
        <v>6</v>
      </c>
    </row>
    <row r="249" spans="1:3" x14ac:dyDescent="0.2">
      <c r="A249">
        <v>10.113804261983393</v>
      </c>
      <c r="B249">
        <v>0</v>
      </c>
      <c r="C249">
        <v>2</v>
      </c>
    </row>
    <row r="250" spans="1:3" x14ac:dyDescent="0.2">
      <c r="A250">
        <v>5.642673843957283</v>
      </c>
      <c r="B250">
        <v>11</v>
      </c>
      <c r="C250">
        <v>0</v>
      </c>
    </row>
    <row r="251" spans="1:3" x14ac:dyDescent="0.2">
      <c r="A251">
        <v>6.832893975193115</v>
      </c>
      <c r="B251">
        <v>0</v>
      </c>
      <c r="C251">
        <v>6</v>
      </c>
    </row>
    <row r="252" spans="1:3" x14ac:dyDescent="0.2">
      <c r="A252">
        <v>4.3946784621395389</v>
      </c>
      <c r="B252">
        <v>0</v>
      </c>
      <c r="C252">
        <v>7</v>
      </c>
    </row>
    <row r="253" spans="1:3" x14ac:dyDescent="0.2">
      <c r="A253">
        <v>6.8182494785209027</v>
      </c>
      <c r="B253">
        <v>0</v>
      </c>
      <c r="C253">
        <v>5</v>
      </c>
    </row>
    <row r="254" spans="1:3" x14ac:dyDescent="0.2">
      <c r="A254">
        <v>5.6351072971557992</v>
      </c>
      <c r="B254">
        <v>5</v>
      </c>
      <c r="C254">
        <v>0</v>
      </c>
    </row>
    <row r="255" spans="1:3" x14ac:dyDescent="0.2">
      <c r="A255">
        <v>5.0406383201327625</v>
      </c>
      <c r="B255">
        <v>14</v>
      </c>
      <c r="C255">
        <v>0</v>
      </c>
    </row>
    <row r="256" spans="1:3" x14ac:dyDescent="0.2">
      <c r="A256">
        <v>9.9177011194552698</v>
      </c>
      <c r="B256">
        <v>5</v>
      </c>
      <c r="C256">
        <v>0</v>
      </c>
    </row>
    <row r="257" spans="1:3" x14ac:dyDescent="0.2">
      <c r="A257">
        <v>2.487815296990906</v>
      </c>
      <c r="B257">
        <v>0</v>
      </c>
      <c r="C257">
        <v>7</v>
      </c>
    </row>
    <row r="258" spans="1:3" x14ac:dyDescent="0.2">
      <c r="A258">
        <v>3.7863438596453958</v>
      </c>
      <c r="B258">
        <v>0</v>
      </c>
      <c r="C258">
        <v>7</v>
      </c>
    </row>
    <row r="259" spans="1:3" x14ac:dyDescent="0.2">
      <c r="A259">
        <v>7.6537615308300433</v>
      </c>
      <c r="B259">
        <v>4</v>
      </c>
      <c r="C259">
        <v>0</v>
      </c>
    </row>
    <row r="260" spans="1:3" x14ac:dyDescent="0.2">
      <c r="A260">
        <v>4.2722558251996272</v>
      </c>
      <c r="B260">
        <v>0</v>
      </c>
      <c r="C260">
        <v>9</v>
      </c>
    </row>
    <row r="261" spans="1:3" x14ac:dyDescent="0.2">
      <c r="A261">
        <v>6.3044314053640482</v>
      </c>
      <c r="B261">
        <v>0</v>
      </c>
      <c r="C261">
        <v>6</v>
      </c>
    </row>
    <row r="262" spans="1:3" x14ac:dyDescent="0.2">
      <c r="A262">
        <v>8.8110030446308052</v>
      </c>
      <c r="B262">
        <v>0</v>
      </c>
      <c r="C262">
        <v>3</v>
      </c>
    </row>
    <row r="263" spans="1:3" x14ac:dyDescent="0.2">
      <c r="A263">
        <v>4.4069251773124902</v>
      </c>
      <c r="B263">
        <v>0</v>
      </c>
      <c r="C263">
        <v>10</v>
      </c>
    </row>
    <row r="264" spans="1:3" x14ac:dyDescent="0.2">
      <c r="A264">
        <v>8.3402719958497542</v>
      </c>
      <c r="B264">
        <v>3</v>
      </c>
      <c r="C264">
        <v>0</v>
      </c>
    </row>
    <row r="265" spans="1:3" x14ac:dyDescent="0.2">
      <c r="A265">
        <v>7.0918525410799163</v>
      </c>
      <c r="B265">
        <v>0</v>
      </c>
      <c r="C265">
        <v>3</v>
      </c>
    </row>
    <row r="266" spans="1:3" x14ac:dyDescent="0.2">
      <c r="A266">
        <v>3.4392573501632269</v>
      </c>
      <c r="B266">
        <v>0</v>
      </c>
      <c r="C266">
        <v>7</v>
      </c>
    </row>
    <row r="267" spans="1:3" x14ac:dyDescent="0.2">
      <c r="A267">
        <v>2.61828290931326</v>
      </c>
      <c r="B267">
        <v>0</v>
      </c>
      <c r="C267">
        <v>9</v>
      </c>
    </row>
    <row r="268" spans="1:3" x14ac:dyDescent="0.2">
      <c r="A268">
        <v>5.157779898029287</v>
      </c>
      <c r="B268">
        <v>0</v>
      </c>
      <c r="C268">
        <v>7</v>
      </c>
    </row>
    <row r="269" spans="1:3" x14ac:dyDescent="0.2">
      <c r="A269">
        <v>8.0749635787892302</v>
      </c>
      <c r="B269">
        <v>0</v>
      </c>
      <c r="C269">
        <v>6</v>
      </c>
    </row>
    <row r="270" spans="1:3" x14ac:dyDescent="0.2">
      <c r="A270">
        <v>8.0729857562302652</v>
      </c>
      <c r="B270">
        <v>9</v>
      </c>
      <c r="C270">
        <v>0</v>
      </c>
    </row>
    <row r="271" spans="1:3" x14ac:dyDescent="0.2">
      <c r="A271">
        <v>11.2980695561691</v>
      </c>
      <c r="B271">
        <v>0</v>
      </c>
      <c r="C271">
        <v>2</v>
      </c>
    </row>
    <row r="272" spans="1:3" x14ac:dyDescent="0.2">
      <c r="A272">
        <v>6.3657050426744206</v>
      </c>
      <c r="B272">
        <v>0</v>
      </c>
      <c r="C272">
        <v>4</v>
      </c>
    </row>
    <row r="273" spans="1:3" x14ac:dyDescent="0.2">
      <c r="A273">
        <v>4.3824094299619389</v>
      </c>
      <c r="B273">
        <v>0</v>
      </c>
      <c r="C273">
        <v>7</v>
      </c>
    </row>
    <row r="274" spans="1:3" x14ac:dyDescent="0.2">
      <c r="A274">
        <v>7.5297724556757419</v>
      </c>
      <c r="B274">
        <v>5</v>
      </c>
      <c r="C274">
        <v>0</v>
      </c>
    </row>
    <row r="275" spans="1:3" x14ac:dyDescent="0.2">
      <c r="A275">
        <v>14.391136371708377</v>
      </c>
      <c r="B275">
        <v>0</v>
      </c>
      <c r="C275">
        <v>2</v>
      </c>
    </row>
    <row r="276" spans="1:3" x14ac:dyDescent="0.2">
      <c r="A276">
        <v>6.6695400662460367</v>
      </c>
      <c r="B276">
        <v>10</v>
      </c>
      <c r="C276">
        <v>0</v>
      </c>
    </row>
    <row r="277" spans="1:3" x14ac:dyDescent="0.2">
      <c r="A277">
        <v>3.2770727773697983</v>
      </c>
      <c r="B277">
        <v>0</v>
      </c>
      <c r="C277">
        <v>10</v>
      </c>
    </row>
    <row r="278" spans="1:3" x14ac:dyDescent="0.2">
      <c r="A278">
        <v>8.3839352511703904</v>
      </c>
      <c r="B278">
        <v>0</v>
      </c>
      <c r="C278">
        <v>2</v>
      </c>
    </row>
    <row r="279" spans="1:3" x14ac:dyDescent="0.2">
      <c r="A279">
        <v>3.0209448857876087</v>
      </c>
      <c r="B279">
        <v>18</v>
      </c>
      <c r="C279">
        <v>0</v>
      </c>
    </row>
    <row r="280" spans="1:3" x14ac:dyDescent="0.2">
      <c r="A280">
        <v>4.7464794848592424</v>
      </c>
      <c r="B280">
        <v>13</v>
      </c>
      <c r="C280">
        <v>0</v>
      </c>
    </row>
    <row r="281" spans="1:3" x14ac:dyDescent="0.2">
      <c r="A281">
        <v>5.7373580566784064</v>
      </c>
      <c r="B281">
        <v>0</v>
      </c>
      <c r="C281">
        <v>7</v>
      </c>
    </row>
    <row r="282" spans="1:3" x14ac:dyDescent="0.2">
      <c r="A282">
        <v>6.1771622416023302</v>
      </c>
      <c r="B282">
        <v>0</v>
      </c>
      <c r="C282">
        <v>4</v>
      </c>
    </row>
    <row r="283" spans="1:3" x14ac:dyDescent="0.2">
      <c r="A283">
        <v>7.1751160520964605</v>
      </c>
      <c r="B283">
        <v>0</v>
      </c>
      <c r="C283">
        <v>2</v>
      </c>
    </row>
    <row r="284" spans="1:3" x14ac:dyDescent="0.2">
      <c r="A284">
        <v>5.6877372341262014</v>
      </c>
      <c r="B284">
        <v>0</v>
      </c>
      <c r="C284">
        <v>7</v>
      </c>
    </row>
    <row r="285" spans="1:3" x14ac:dyDescent="0.2">
      <c r="A285">
        <v>5.2966533278757195</v>
      </c>
      <c r="B285">
        <v>13</v>
      </c>
      <c r="C285">
        <v>0</v>
      </c>
    </row>
    <row r="286" spans="1:3" x14ac:dyDescent="0.2">
      <c r="A286">
        <v>6.6666086790011798</v>
      </c>
      <c r="B286">
        <v>0</v>
      </c>
      <c r="C286">
        <v>4</v>
      </c>
    </row>
    <row r="287" spans="1:3" x14ac:dyDescent="0.2">
      <c r="A287">
        <v>3.4262185751990248</v>
      </c>
      <c r="B287">
        <v>0</v>
      </c>
      <c r="C287">
        <v>7</v>
      </c>
    </row>
    <row r="288" spans="1:3" x14ac:dyDescent="0.2">
      <c r="A288">
        <v>4.3364123672752051</v>
      </c>
      <c r="B288">
        <v>13</v>
      </c>
      <c r="C288">
        <v>0</v>
      </c>
    </row>
    <row r="289" spans="1:3" x14ac:dyDescent="0.2">
      <c r="A289">
        <v>5.2936663031066971</v>
      </c>
      <c r="B289">
        <v>0</v>
      </c>
      <c r="C289">
        <v>7</v>
      </c>
    </row>
    <row r="290" spans="1:3" x14ac:dyDescent="0.2">
      <c r="A290">
        <v>5.735103903059863</v>
      </c>
      <c r="B290">
        <v>0</v>
      </c>
      <c r="C290">
        <v>6</v>
      </c>
    </row>
    <row r="291" spans="1:3" x14ac:dyDescent="0.2">
      <c r="A291">
        <v>6.5248167141509281</v>
      </c>
      <c r="B291">
        <v>10</v>
      </c>
      <c r="C291">
        <v>0</v>
      </c>
    </row>
    <row r="292" spans="1:3" x14ac:dyDescent="0.2">
      <c r="A292">
        <v>3.9627299920998573</v>
      </c>
      <c r="B292">
        <v>0</v>
      </c>
      <c r="C292">
        <v>6</v>
      </c>
    </row>
    <row r="293" spans="1:3" x14ac:dyDescent="0.2">
      <c r="A293">
        <v>5.0480793395114532</v>
      </c>
      <c r="B293">
        <v>0</v>
      </c>
      <c r="C293">
        <v>5</v>
      </c>
    </row>
    <row r="294" spans="1:3" x14ac:dyDescent="0.2">
      <c r="A294">
        <v>2.272069873390318</v>
      </c>
      <c r="B294">
        <v>14</v>
      </c>
      <c r="C294">
        <v>0</v>
      </c>
    </row>
    <row r="295" spans="1:3" x14ac:dyDescent="0.2">
      <c r="A295">
        <v>2.7583300689962273</v>
      </c>
      <c r="B295">
        <v>16</v>
      </c>
      <c r="C295">
        <v>0</v>
      </c>
    </row>
    <row r="296" spans="1:3" x14ac:dyDescent="0.2">
      <c r="A296">
        <v>4.2010308021553744</v>
      </c>
      <c r="B296">
        <v>0</v>
      </c>
      <c r="C296">
        <v>7</v>
      </c>
    </row>
    <row r="297" spans="1:3" x14ac:dyDescent="0.2">
      <c r="A297">
        <v>9.3910271210848357</v>
      </c>
      <c r="B297">
        <v>4</v>
      </c>
      <c r="C297">
        <v>0</v>
      </c>
    </row>
    <row r="298" spans="1:3" x14ac:dyDescent="0.2">
      <c r="A298">
        <v>5.9474777671042851</v>
      </c>
      <c r="B298">
        <v>6</v>
      </c>
      <c r="C298">
        <v>0</v>
      </c>
    </row>
    <row r="299" spans="1:3" x14ac:dyDescent="0.2">
      <c r="A299">
        <v>9.1631088809643213</v>
      </c>
      <c r="B299">
        <v>4</v>
      </c>
      <c r="C299">
        <v>0</v>
      </c>
    </row>
    <row r="300" spans="1:3" x14ac:dyDescent="0.2">
      <c r="A300">
        <v>16.452684523681661</v>
      </c>
      <c r="B300">
        <v>0</v>
      </c>
      <c r="C300">
        <v>1</v>
      </c>
    </row>
    <row r="301" spans="1:3" x14ac:dyDescent="0.2">
      <c r="A301">
        <v>3.7023835270689243</v>
      </c>
      <c r="B301">
        <v>14</v>
      </c>
      <c r="C301">
        <v>0</v>
      </c>
    </row>
    <row r="302" spans="1:3" x14ac:dyDescent="0.2">
      <c r="A302">
        <v>11.501728880434881</v>
      </c>
      <c r="B302">
        <v>0</v>
      </c>
      <c r="C302">
        <v>2</v>
      </c>
    </row>
    <row r="303" spans="1:3" x14ac:dyDescent="0.2">
      <c r="A303">
        <v>2.8060332722928139</v>
      </c>
      <c r="B303">
        <v>0</v>
      </c>
      <c r="C303">
        <v>10</v>
      </c>
    </row>
    <row r="304" spans="1:3" x14ac:dyDescent="0.2">
      <c r="A304">
        <v>4.6265456594088459</v>
      </c>
      <c r="B304">
        <v>14</v>
      </c>
      <c r="C304">
        <v>0</v>
      </c>
    </row>
    <row r="305" spans="1:3" x14ac:dyDescent="0.2">
      <c r="A305">
        <v>5.0335531846442567</v>
      </c>
      <c r="B305">
        <v>12</v>
      </c>
      <c r="C305">
        <v>0</v>
      </c>
    </row>
    <row r="306" spans="1:3" x14ac:dyDescent="0.2">
      <c r="A306">
        <v>3.0154561681883334</v>
      </c>
      <c r="B306">
        <v>0</v>
      </c>
      <c r="C306">
        <v>10</v>
      </c>
    </row>
    <row r="307" spans="1:3" x14ac:dyDescent="0.2">
      <c r="A307">
        <v>4.6248741694095781</v>
      </c>
      <c r="B307">
        <v>0</v>
      </c>
      <c r="C307">
        <v>5</v>
      </c>
    </row>
    <row r="308" spans="1:3" x14ac:dyDescent="0.2">
      <c r="A308">
        <v>4.6175948668818645</v>
      </c>
      <c r="B308">
        <v>0</v>
      </c>
      <c r="C308">
        <v>5</v>
      </c>
    </row>
    <row r="309" spans="1:3" x14ac:dyDescent="0.2">
      <c r="A309">
        <v>6.5994544022460806</v>
      </c>
      <c r="B309">
        <v>11</v>
      </c>
      <c r="C309">
        <v>0</v>
      </c>
    </row>
    <row r="310" spans="1:3" x14ac:dyDescent="0.2">
      <c r="A310">
        <v>3.2764434095034498</v>
      </c>
      <c r="B310">
        <v>0</v>
      </c>
      <c r="C310">
        <v>10</v>
      </c>
    </row>
    <row r="311" spans="1:3" x14ac:dyDescent="0.2">
      <c r="A311">
        <v>5.7556929607884548</v>
      </c>
      <c r="B311">
        <v>0</v>
      </c>
      <c r="C311">
        <v>9</v>
      </c>
    </row>
    <row r="312" spans="1:3" x14ac:dyDescent="0.2">
      <c r="A312">
        <v>2.8544416066473901</v>
      </c>
      <c r="B312">
        <v>0</v>
      </c>
      <c r="C312">
        <v>10</v>
      </c>
    </row>
    <row r="313" spans="1:3" x14ac:dyDescent="0.2">
      <c r="A313">
        <v>4.0435874753194776</v>
      </c>
      <c r="B313">
        <v>0</v>
      </c>
      <c r="C313">
        <v>9</v>
      </c>
    </row>
    <row r="314" spans="1:3" x14ac:dyDescent="0.2">
      <c r="A314">
        <v>3.4411147695825086</v>
      </c>
      <c r="B314">
        <v>0</v>
      </c>
      <c r="C314">
        <v>9</v>
      </c>
    </row>
    <row r="315" spans="1:3" x14ac:dyDescent="0.2">
      <c r="A315">
        <v>7.1626909866379656</v>
      </c>
      <c r="B315">
        <v>0</v>
      </c>
      <c r="C315">
        <v>4</v>
      </c>
    </row>
    <row r="316" spans="1:3" x14ac:dyDescent="0.2">
      <c r="A316">
        <v>5.6339833436535063</v>
      </c>
      <c r="B316">
        <v>0</v>
      </c>
      <c r="C316">
        <v>4</v>
      </c>
    </row>
    <row r="317" spans="1:3" x14ac:dyDescent="0.2">
      <c r="A317">
        <v>8.5833625464905126</v>
      </c>
      <c r="B317">
        <v>12</v>
      </c>
      <c r="C317">
        <v>0</v>
      </c>
    </row>
    <row r="318" spans="1:3" x14ac:dyDescent="0.2">
      <c r="A318">
        <v>24.491033861808109</v>
      </c>
      <c r="B318">
        <v>0</v>
      </c>
      <c r="C318">
        <v>1</v>
      </c>
    </row>
    <row r="319" spans="1:3" x14ac:dyDescent="0.2">
      <c r="A319">
        <v>8.0681238721501138</v>
      </c>
      <c r="B319">
        <v>0</v>
      </c>
      <c r="C319">
        <v>3</v>
      </c>
    </row>
    <row r="320" spans="1:3" x14ac:dyDescent="0.2">
      <c r="A320">
        <v>5.475061916686208</v>
      </c>
      <c r="B320">
        <v>0</v>
      </c>
      <c r="C320">
        <v>7</v>
      </c>
    </row>
    <row r="321" spans="1:3" x14ac:dyDescent="0.2">
      <c r="A321">
        <v>2.6377403689384105</v>
      </c>
      <c r="B321">
        <v>0</v>
      </c>
      <c r="C321">
        <v>8</v>
      </c>
    </row>
    <row r="322" spans="1:3" x14ac:dyDescent="0.2">
      <c r="A322">
        <v>8.2290110088607431</v>
      </c>
      <c r="B322">
        <v>0</v>
      </c>
      <c r="C322">
        <v>5</v>
      </c>
    </row>
    <row r="323" spans="1:3" x14ac:dyDescent="0.2">
      <c r="A323">
        <v>5.4775050519048039</v>
      </c>
      <c r="B323">
        <v>0</v>
      </c>
      <c r="C323">
        <v>7</v>
      </c>
    </row>
    <row r="324" spans="1:3" x14ac:dyDescent="0.2">
      <c r="A324">
        <v>6.3031721979331659</v>
      </c>
      <c r="B324">
        <v>3</v>
      </c>
      <c r="C324">
        <v>0</v>
      </c>
    </row>
    <row r="325" spans="1:3" x14ac:dyDescent="0.2">
      <c r="A325">
        <v>6.4517651527171225</v>
      </c>
      <c r="B325">
        <v>0</v>
      </c>
      <c r="C325">
        <v>6</v>
      </c>
    </row>
    <row r="326" spans="1:3" x14ac:dyDescent="0.2">
      <c r="A326">
        <v>7.2774862358998345</v>
      </c>
      <c r="B326">
        <v>0</v>
      </c>
      <c r="C326">
        <v>3</v>
      </c>
    </row>
    <row r="327" spans="1:3" x14ac:dyDescent="0.2">
      <c r="A327">
        <v>4.650979511866363</v>
      </c>
      <c r="B327">
        <v>0</v>
      </c>
      <c r="C327">
        <v>7</v>
      </c>
    </row>
    <row r="328" spans="1:3" x14ac:dyDescent="0.2">
      <c r="A328">
        <v>4.1383637365122743</v>
      </c>
      <c r="B328">
        <v>11</v>
      </c>
      <c r="C328">
        <v>0</v>
      </c>
    </row>
    <row r="329" spans="1:3" x14ac:dyDescent="0.2">
      <c r="A329">
        <v>5.8064916669075046</v>
      </c>
      <c r="B329">
        <v>0</v>
      </c>
      <c r="C329">
        <v>7</v>
      </c>
    </row>
    <row r="330" spans="1:3" x14ac:dyDescent="0.2">
      <c r="A330">
        <v>5.2882998780087336</v>
      </c>
      <c r="B330">
        <v>13</v>
      </c>
      <c r="C330">
        <v>0</v>
      </c>
    </row>
    <row r="331" spans="1:3" x14ac:dyDescent="0.2">
      <c r="A331">
        <v>7.6474107338299078</v>
      </c>
      <c r="B331">
        <v>3</v>
      </c>
      <c r="C331">
        <v>0</v>
      </c>
    </row>
    <row r="332" spans="1:3" x14ac:dyDescent="0.2">
      <c r="A332">
        <v>5.360118677699929</v>
      </c>
      <c r="B332">
        <v>0</v>
      </c>
      <c r="C332">
        <v>6</v>
      </c>
    </row>
    <row r="333" spans="1:3" x14ac:dyDescent="0.2">
      <c r="A333">
        <v>5.3338315376020251</v>
      </c>
      <c r="B333">
        <v>0</v>
      </c>
      <c r="C333">
        <v>7</v>
      </c>
    </row>
    <row r="334" spans="1:3" x14ac:dyDescent="0.2">
      <c r="A334">
        <v>4.7979017640760402</v>
      </c>
      <c r="B334">
        <v>0</v>
      </c>
      <c r="C334">
        <v>6</v>
      </c>
    </row>
    <row r="335" spans="1:3" x14ac:dyDescent="0.2">
      <c r="A335">
        <v>3.5144421053303949</v>
      </c>
      <c r="B335">
        <v>0</v>
      </c>
      <c r="C335">
        <v>7</v>
      </c>
    </row>
    <row r="336" spans="1:3" x14ac:dyDescent="0.2">
      <c r="A336">
        <v>2.6035222285815394</v>
      </c>
      <c r="B336">
        <v>0</v>
      </c>
      <c r="C336">
        <v>9</v>
      </c>
    </row>
    <row r="337" spans="1:3" x14ac:dyDescent="0.2">
      <c r="A337">
        <v>5.8896216052710235</v>
      </c>
      <c r="B337">
        <v>0</v>
      </c>
      <c r="C337">
        <v>6</v>
      </c>
    </row>
    <row r="338" spans="1:3" x14ac:dyDescent="0.2">
      <c r="A338">
        <v>5.3757741792434981</v>
      </c>
      <c r="B338">
        <v>0</v>
      </c>
      <c r="C338">
        <v>8</v>
      </c>
    </row>
    <row r="339" spans="1:3" x14ac:dyDescent="0.2">
      <c r="A339">
        <v>6.2786167360332197</v>
      </c>
      <c r="B339">
        <v>0</v>
      </c>
      <c r="C339">
        <v>3</v>
      </c>
    </row>
    <row r="340" spans="1:3" x14ac:dyDescent="0.2">
      <c r="A340">
        <v>5.4129678245696464</v>
      </c>
      <c r="B340">
        <v>0</v>
      </c>
      <c r="C340">
        <v>7</v>
      </c>
    </row>
    <row r="341" spans="1:3" x14ac:dyDescent="0.2">
      <c r="A341">
        <v>3.2719371762052663</v>
      </c>
      <c r="B341">
        <v>0</v>
      </c>
      <c r="C341">
        <v>9</v>
      </c>
    </row>
    <row r="342" spans="1:3" x14ac:dyDescent="0.2">
      <c r="A342">
        <v>3.550052184274811</v>
      </c>
      <c r="B342">
        <v>12</v>
      </c>
      <c r="C342">
        <v>0</v>
      </c>
    </row>
    <row r="343" spans="1:3" x14ac:dyDescent="0.2">
      <c r="A343">
        <v>5.7042131934688403</v>
      </c>
      <c r="B343">
        <v>4</v>
      </c>
      <c r="C343">
        <v>0</v>
      </c>
    </row>
    <row r="344" spans="1:3" x14ac:dyDescent="0.2">
      <c r="A344">
        <v>12.956225862316435</v>
      </c>
      <c r="B344">
        <v>2</v>
      </c>
      <c r="C344">
        <v>0</v>
      </c>
    </row>
    <row r="345" spans="1:3" x14ac:dyDescent="0.2">
      <c r="A345">
        <v>3.9563742532491011</v>
      </c>
      <c r="B345">
        <v>0</v>
      </c>
      <c r="C345">
        <v>9</v>
      </c>
    </row>
    <row r="346" spans="1:3" x14ac:dyDescent="0.2">
      <c r="A346">
        <v>7.0437469816863807</v>
      </c>
      <c r="B346">
        <v>8</v>
      </c>
      <c r="C346">
        <v>0</v>
      </c>
    </row>
    <row r="347" spans="1:3" x14ac:dyDescent="0.2">
      <c r="A347">
        <v>3.1831164776464473</v>
      </c>
      <c r="B347">
        <v>0</v>
      </c>
      <c r="C347">
        <v>10</v>
      </c>
    </row>
    <row r="348" spans="1:3" x14ac:dyDescent="0.2">
      <c r="A348">
        <v>4.0354724144522205</v>
      </c>
      <c r="B348">
        <v>15</v>
      </c>
      <c r="C348">
        <v>0</v>
      </c>
    </row>
    <row r="349" spans="1:3" x14ac:dyDescent="0.2">
      <c r="A349">
        <v>4.0054058418573533</v>
      </c>
      <c r="B349">
        <v>0</v>
      </c>
      <c r="C349">
        <v>8</v>
      </c>
    </row>
    <row r="350" spans="1:3" x14ac:dyDescent="0.2">
      <c r="A350">
        <v>6.3241298868164453</v>
      </c>
      <c r="B350">
        <v>0</v>
      </c>
      <c r="C350">
        <v>5</v>
      </c>
    </row>
    <row r="351" spans="1:3" x14ac:dyDescent="0.2">
      <c r="A351">
        <v>3.421117943973317</v>
      </c>
      <c r="B351">
        <v>0</v>
      </c>
      <c r="C351">
        <v>8</v>
      </c>
    </row>
    <row r="352" spans="1:3" x14ac:dyDescent="0.2">
      <c r="A352">
        <v>5.5991199757304129</v>
      </c>
      <c r="B352">
        <v>0</v>
      </c>
      <c r="C352">
        <v>5</v>
      </c>
    </row>
    <row r="353" spans="1:3" x14ac:dyDescent="0.2">
      <c r="A353">
        <v>3.9826935732242115</v>
      </c>
      <c r="B353">
        <v>15</v>
      </c>
      <c r="C353">
        <v>0</v>
      </c>
    </row>
    <row r="354" spans="1:3" x14ac:dyDescent="0.2">
      <c r="A354">
        <v>3.3375990054821294</v>
      </c>
      <c r="B354">
        <v>20</v>
      </c>
      <c r="C354">
        <v>0</v>
      </c>
    </row>
    <row r="355" spans="1:3" x14ac:dyDescent="0.2">
      <c r="A355">
        <v>5.3125863445773538</v>
      </c>
      <c r="B355">
        <v>12</v>
      </c>
      <c r="C355">
        <v>0</v>
      </c>
    </row>
    <row r="356" spans="1:3" x14ac:dyDescent="0.2">
      <c r="A356">
        <v>4.3081565803696673</v>
      </c>
      <c r="B356">
        <v>0</v>
      </c>
      <c r="C356">
        <v>5</v>
      </c>
    </row>
    <row r="357" spans="1:3" x14ac:dyDescent="0.2">
      <c r="A357">
        <v>4.3038757464024142</v>
      </c>
      <c r="B357">
        <v>0</v>
      </c>
      <c r="C357">
        <v>8</v>
      </c>
    </row>
    <row r="358" spans="1:3" x14ac:dyDescent="0.2">
      <c r="A358">
        <v>5.6724308631591089</v>
      </c>
      <c r="B358">
        <v>0</v>
      </c>
      <c r="C358">
        <v>4</v>
      </c>
    </row>
    <row r="359" spans="1:3" x14ac:dyDescent="0.2">
      <c r="A359">
        <v>3.7429330613879728</v>
      </c>
      <c r="B359">
        <v>0</v>
      </c>
      <c r="C359">
        <v>7</v>
      </c>
    </row>
    <row r="360" spans="1:3" x14ac:dyDescent="0.2">
      <c r="A360">
        <v>8.0680973972550643</v>
      </c>
      <c r="B360">
        <v>0</v>
      </c>
      <c r="C360">
        <v>4</v>
      </c>
    </row>
    <row r="361" spans="1:3" x14ac:dyDescent="0.2">
      <c r="A361">
        <v>6.5762586447978668</v>
      </c>
      <c r="B361">
        <v>0</v>
      </c>
      <c r="C361">
        <v>4</v>
      </c>
    </row>
    <row r="362" spans="1:3" x14ac:dyDescent="0.2">
      <c r="A362">
        <v>4.9815285108515619</v>
      </c>
      <c r="B362">
        <v>10</v>
      </c>
      <c r="C362">
        <v>0</v>
      </c>
    </row>
    <row r="363" spans="1:3" x14ac:dyDescent="0.2">
      <c r="A363">
        <v>4.716337975974942</v>
      </c>
      <c r="B363">
        <v>0</v>
      </c>
      <c r="C363">
        <v>5</v>
      </c>
    </row>
    <row r="364" spans="1:3" x14ac:dyDescent="0.2">
      <c r="A364">
        <v>7.8943857526020516</v>
      </c>
      <c r="B364">
        <v>0</v>
      </c>
      <c r="C364">
        <v>4</v>
      </c>
    </row>
    <row r="365" spans="1:3" x14ac:dyDescent="0.2">
      <c r="A365">
        <v>5.6372297175097401</v>
      </c>
      <c r="B365">
        <v>8</v>
      </c>
      <c r="C365">
        <v>0</v>
      </c>
    </row>
    <row r="366" spans="1:3" x14ac:dyDescent="0.2">
      <c r="A366">
        <v>9.1342925107804476</v>
      </c>
      <c r="B366">
        <v>0</v>
      </c>
      <c r="C366">
        <v>4</v>
      </c>
    </row>
    <row r="367" spans="1:3" x14ac:dyDescent="0.2">
      <c r="A367">
        <v>3.1625654634924247</v>
      </c>
      <c r="B367">
        <v>15</v>
      </c>
      <c r="C367">
        <v>0</v>
      </c>
    </row>
    <row r="368" spans="1:3" x14ac:dyDescent="0.2">
      <c r="A368">
        <v>2.7530921276109597</v>
      </c>
      <c r="B368">
        <v>0</v>
      </c>
      <c r="C368">
        <v>9</v>
      </c>
    </row>
    <row r="369" spans="1:3" x14ac:dyDescent="0.2">
      <c r="A369">
        <v>3.1071519845422291</v>
      </c>
      <c r="B369">
        <v>0</v>
      </c>
      <c r="C369">
        <v>9</v>
      </c>
    </row>
    <row r="370" spans="1:3" x14ac:dyDescent="0.2">
      <c r="A370">
        <v>3.5666646651558138</v>
      </c>
      <c r="B370">
        <v>0</v>
      </c>
      <c r="C370">
        <v>7</v>
      </c>
    </row>
    <row r="371" spans="1:3" x14ac:dyDescent="0.2">
      <c r="A371">
        <v>3.5322625659121005</v>
      </c>
      <c r="B371">
        <v>0</v>
      </c>
      <c r="C371">
        <v>9</v>
      </c>
    </row>
    <row r="372" spans="1:3" x14ac:dyDescent="0.2">
      <c r="A372">
        <v>4.7111951221207713</v>
      </c>
      <c r="B372">
        <v>8</v>
      </c>
      <c r="C372">
        <v>0</v>
      </c>
    </row>
    <row r="373" spans="1:3" x14ac:dyDescent="0.2">
      <c r="A373">
        <v>4.3230969168572964</v>
      </c>
      <c r="B373">
        <v>0</v>
      </c>
      <c r="C373">
        <v>8</v>
      </c>
    </row>
    <row r="374" spans="1:3" x14ac:dyDescent="0.2">
      <c r="A374">
        <v>5.3336227977032955</v>
      </c>
      <c r="B374">
        <v>14</v>
      </c>
      <c r="C374">
        <v>0</v>
      </c>
    </row>
    <row r="375" spans="1:3" x14ac:dyDescent="0.2">
      <c r="A375">
        <v>6.2516992990510296</v>
      </c>
      <c r="B375">
        <v>10</v>
      </c>
      <c r="C375">
        <v>0</v>
      </c>
    </row>
    <row r="376" spans="1:3" x14ac:dyDescent="0.2">
      <c r="A376">
        <v>8.6748652544169609</v>
      </c>
      <c r="B376">
        <v>0</v>
      </c>
      <c r="C376">
        <v>3</v>
      </c>
    </row>
    <row r="377" spans="1:3" x14ac:dyDescent="0.2">
      <c r="A377">
        <v>3.300122984564009</v>
      </c>
      <c r="B377">
        <v>0</v>
      </c>
      <c r="C377">
        <v>9</v>
      </c>
    </row>
    <row r="378" spans="1:3" x14ac:dyDescent="0.2">
      <c r="A378">
        <v>10.923688989272407</v>
      </c>
      <c r="B378">
        <v>0</v>
      </c>
      <c r="C378">
        <v>2</v>
      </c>
    </row>
    <row r="379" spans="1:3" x14ac:dyDescent="0.2">
      <c r="A379">
        <v>4.2019093040782929</v>
      </c>
      <c r="B379">
        <v>0</v>
      </c>
      <c r="C379">
        <v>7</v>
      </c>
    </row>
    <row r="380" spans="1:3" x14ac:dyDescent="0.2">
      <c r="A380">
        <v>3.1030202038955856</v>
      </c>
      <c r="B380">
        <v>17</v>
      </c>
      <c r="C380">
        <v>0</v>
      </c>
    </row>
    <row r="381" spans="1:3" x14ac:dyDescent="0.2">
      <c r="A381">
        <v>5.4138419771988087</v>
      </c>
      <c r="B381">
        <v>0</v>
      </c>
      <c r="C381">
        <v>6</v>
      </c>
    </row>
    <row r="382" spans="1:3" x14ac:dyDescent="0.2">
      <c r="A382">
        <v>6.7610605216595658</v>
      </c>
      <c r="B382">
        <v>0</v>
      </c>
      <c r="C382">
        <v>2</v>
      </c>
    </row>
    <row r="383" spans="1:3" x14ac:dyDescent="0.2">
      <c r="A383">
        <v>5.7054693769881011</v>
      </c>
      <c r="B383">
        <v>9</v>
      </c>
      <c r="C383">
        <v>0</v>
      </c>
    </row>
    <row r="384" spans="1:3" x14ac:dyDescent="0.2">
      <c r="A384">
        <v>4.1374315349193314</v>
      </c>
      <c r="B384">
        <v>0</v>
      </c>
      <c r="C384">
        <v>9</v>
      </c>
    </row>
    <row r="385" spans="1:3" x14ac:dyDescent="0.2">
      <c r="A385">
        <v>4.5501257399147121</v>
      </c>
      <c r="B385">
        <v>0</v>
      </c>
      <c r="C385">
        <v>3</v>
      </c>
    </row>
    <row r="386" spans="1:3" x14ac:dyDescent="0.2">
      <c r="A386">
        <v>8.5621331472272022</v>
      </c>
      <c r="B386">
        <v>0</v>
      </c>
      <c r="C386">
        <v>4</v>
      </c>
    </row>
    <row r="387" spans="1:3" x14ac:dyDescent="0.2">
      <c r="A387">
        <v>4.0393537527825849</v>
      </c>
      <c r="B387">
        <v>0</v>
      </c>
      <c r="C387">
        <v>8</v>
      </c>
    </row>
    <row r="388" spans="1:3" x14ac:dyDescent="0.2">
      <c r="A388">
        <v>4.2852613747244099</v>
      </c>
      <c r="B388">
        <v>0</v>
      </c>
      <c r="C388">
        <v>9</v>
      </c>
    </row>
    <row r="389" spans="1:3" x14ac:dyDescent="0.2">
      <c r="A389">
        <v>2.9025020720083994</v>
      </c>
      <c r="B389">
        <v>13</v>
      </c>
      <c r="C389">
        <v>0</v>
      </c>
    </row>
    <row r="390" spans="1:3" x14ac:dyDescent="0.2">
      <c r="A390">
        <v>5.6104038729644481</v>
      </c>
      <c r="B390">
        <v>0</v>
      </c>
      <c r="C390">
        <v>5</v>
      </c>
    </row>
    <row r="391" spans="1:3" x14ac:dyDescent="0.2">
      <c r="A391">
        <v>5.6290233092473256</v>
      </c>
      <c r="B391">
        <v>0</v>
      </c>
      <c r="C391">
        <v>7</v>
      </c>
    </row>
    <row r="392" spans="1:3" x14ac:dyDescent="0.2">
      <c r="A392">
        <v>4.7491399658756679</v>
      </c>
      <c r="B392">
        <v>0</v>
      </c>
      <c r="C392">
        <v>6</v>
      </c>
    </row>
    <row r="393" spans="1:3" x14ac:dyDescent="0.2">
      <c r="A393">
        <v>5.7654716765241609</v>
      </c>
      <c r="B393">
        <v>10</v>
      </c>
      <c r="C393">
        <v>0</v>
      </c>
    </row>
    <row r="394" spans="1:3" x14ac:dyDescent="0.2">
      <c r="A394">
        <v>4.2355962200776451</v>
      </c>
      <c r="B394">
        <v>0</v>
      </c>
      <c r="C394">
        <v>8</v>
      </c>
    </row>
    <row r="395" spans="1:3" x14ac:dyDescent="0.2">
      <c r="A395">
        <v>3.1291619274115892</v>
      </c>
      <c r="B395">
        <v>14</v>
      </c>
      <c r="C395">
        <v>0</v>
      </c>
    </row>
    <row r="396" spans="1:3" x14ac:dyDescent="0.2">
      <c r="A396">
        <v>17.816623638644003</v>
      </c>
      <c r="B396">
        <v>0</v>
      </c>
      <c r="C396">
        <v>2</v>
      </c>
    </row>
    <row r="397" spans="1:3" x14ac:dyDescent="0.2">
      <c r="A397">
        <v>4.148798871806294</v>
      </c>
      <c r="B397">
        <v>0</v>
      </c>
      <c r="C397">
        <v>8</v>
      </c>
    </row>
    <row r="398" spans="1:3" x14ac:dyDescent="0.2">
      <c r="A398">
        <v>3.3654134530730451</v>
      </c>
      <c r="B398">
        <v>0</v>
      </c>
      <c r="C398">
        <v>8</v>
      </c>
    </row>
    <row r="399" spans="1:3" x14ac:dyDescent="0.2">
      <c r="A399">
        <v>8.9786529754505704</v>
      </c>
      <c r="B399">
        <v>7</v>
      </c>
      <c r="C399">
        <v>0</v>
      </c>
    </row>
    <row r="400" spans="1:3" x14ac:dyDescent="0.2">
      <c r="A400">
        <v>2.7909782374706724</v>
      </c>
      <c r="B400">
        <v>0</v>
      </c>
      <c r="C400">
        <v>10</v>
      </c>
    </row>
    <row r="401" spans="1:3" x14ac:dyDescent="0.2">
      <c r="A401">
        <v>3.6350052088347629</v>
      </c>
      <c r="B401">
        <v>0</v>
      </c>
      <c r="C401">
        <v>10</v>
      </c>
    </row>
    <row r="402" spans="1:3" x14ac:dyDescent="0.2">
      <c r="A402">
        <v>4.3378041186280196</v>
      </c>
      <c r="B402">
        <v>7</v>
      </c>
      <c r="C402">
        <v>0</v>
      </c>
    </row>
    <row r="403" spans="1:3" x14ac:dyDescent="0.2">
      <c r="A403">
        <v>5.8611701127872768</v>
      </c>
      <c r="B403">
        <v>0</v>
      </c>
      <c r="C403">
        <v>7</v>
      </c>
    </row>
    <row r="404" spans="1:3" x14ac:dyDescent="0.2">
      <c r="A404">
        <v>3.7517800070776248</v>
      </c>
      <c r="B404">
        <v>15</v>
      </c>
      <c r="C404">
        <v>0</v>
      </c>
    </row>
    <row r="405" spans="1:3" x14ac:dyDescent="0.2">
      <c r="A405">
        <v>2.3160540414259505</v>
      </c>
      <c r="B405">
        <v>0</v>
      </c>
      <c r="C405">
        <v>8</v>
      </c>
    </row>
    <row r="406" spans="1:3" x14ac:dyDescent="0.2">
      <c r="A406">
        <v>3.0329567440696938</v>
      </c>
      <c r="B406">
        <v>0</v>
      </c>
      <c r="C406">
        <v>8</v>
      </c>
    </row>
    <row r="407" spans="1:3" x14ac:dyDescent="0.2">
      <c r="A407">
        <v>3.8962369956939682</v>
      </c>
      <c r="B407">
        <v>0</v>
      </c>
      <c r="C407">
        <v>7</v>
      </c>
    </row>
    <row r="408" spans="1:3" x14ac:dyDescent="0.2">
      <c r="A408">
        <v>4.2338251078862088</v>
      </c>
      <c r="B408">
        <v>0</v>
      </c>
      <c r="C408">
        <v>7</v>
      </c>
    </row>
    <row r="409" spans="1:3" x14ac:dyDescent="0.2">
      <c r="A409">
        <v>5.2649325058747936</v>
      </c>
      <c r="B409">
        <v>5</v>
      </c>
      <c r="C409">
        <v>0</v>
      </c>
    </row>
    <row r="410" spans="1:3" x14ac:dyDescent="0.2">
      <c r="A410">
        <v>8.7062567706616214</v>
      </c>
      <c r="B410">
        <v>9</v>
      </c>
      <c r="C410">
        <v>0</v>
      </c>
    </row>
    <row r="411" spans="1:3" x14ac:dyDescent="0.2">
      <c r="A411">
        <v>2.9653381844775182</v>
      </c>
      <c r="B411">
        <v>15</v>
      </c>
      <c r="C411">
        <v>0</v>
      </c>
    </row>
    <row r="412" spans="1:3" x14ac:dyDescent="0.2">
      <c r="A412">
        <v>3.2468186373889738</v>
      </c>
      <c r="B412">
        <v>17</v>
      </c>
      <c r="C412">
        <v>0</v>
      </c>
    </row>
    <row r="413" spans="1:3" x14ac:dyDescent="0.2">
      <c r="A413">
        <v>7.8305009941863348</v>
      </c>
      <c r="B413">
        <v>10</v>
      </c>
      <c r="C413">
        <v>0</v>
      </c>
    </row>
    <row r="414" spans="1:3" x14ac:dyDescent="0.2">
      <c r="A414">
        <v>4.6311438177280877</v>
      </c>
      <c r="B414">
        <v>0</v>
      </c>
      <c r="C414">
        <v>5</v>
      </c>
    </row>
    <row r="415" spans="1:3" x14ac:dyDescent="0.2">
      <c r="A415">
        <v>3.8096424357525156</v>
      </c>
      <c r="B415">
        <v>0</v>
      </c>
      <c r="C415">
        <v>9</v>
      </c>
    </row>
    <row r="416" spans="1:3" x14ac:dyDescent="0.2">
      <c r="A416">
        <v>15.362199357710926</v>
      </c>
      <c r="B416">
        <v>2</v>
      </c>
      <c r="C416">
        <v>0</v>
      </c>
    </row>
    <row r="417" spans="1:3" x14ac:dyDescent="0.2">
      <c r="A417">
        <v>4.7093804797759029</v>
      </c>
      <c r="B417">
        <v>0</v>
      </c>
      <c r="C417">
        <v>4</v>
      </c>
    </row>
    <row r="418" spans="1:3" x14ac:dyDescent="0.2">
      <c r="A418">
        <v>4.3928079298290834</v>
      </c>
      <c r="B418">
        <v>0</v>
      </c>
      <c r="C418">
        <v>9</v>
      </c>
    </row>
    <row r="419" spans="1:3" x14ac:dyDescent="0.2">
      <c r="A419">
        <v>8.953855342436599</v>
      </c>
      <c r="B419">
        <v>0</v>
      </c>
      <c r="C419">
        <v>4</v>
      </c>
    </row>
    <row r="420" spans="1:3" x14ac:dyDescent="0.2">
      <c r="A420">
        <v>4.7045339021520531</v>
      </c>
      <c r="B420">
        <v>0</v>
      </c>
      <c r="C420">
        <v>9</v>
      </c>
    </row>
    <row r="421" spans="1:3" x14ac:dyDescent="0.2">
      <c r="A421">
        <v>8.2678292537046492</v>
      </c>
      <c r="B421">
        <v>6</v>
      </c>
      <c r="C421">
        <v>0</v>
      </c>
    </row>
    <row r="422" spans="1:3" x14ac:dyDescent="0.2">
      <c r="A422">
        <v>4.724358756286712</v>
      </c>
      <c r="B422">
        <v>15</v>
      </c>
      <c r="C422">
        <v>0</v>
      </c>
    </row>
    <row r="423" spans="1:3" x14ac:dyDescent="0.2">
      <c r="A423">
        <v>5.4019016826593083</v>
      </c>
      <c r="B423">
        <v>8</v>
      </c>
      <c r="C423">
        <v>0</v>
      </c>
    </row>
    <row r="424" spans="1:3" x14ac:dyDescent="0.2">
      <c r="A424">
        <v>4.8119770818884975</v>
      </c>
      <c r="B424">
        <v>0</v>
      </c>
      <c r="C424">
        <v>7</v>
      </c>
    </row>
    <row r="425" spans="1:3" x14ac:dyDescent="0.2">
      <c r="A425">
        <v>6.6411901842751195</v>
      </c>
      <c r="B425">
        <v>0</v>
      </c>
      <c r="C425">
        <v>7</v>
      </c>
    </row>
    <row r="426" spans="1:3" x14ac:dyDescent="0.2">
      <c r="A426">
        <v>5.4446938326194898</v>
      </c>
      <c r="B426">
        <v>0</v>
      </c>
      <c r="C426">
        <v>7</v>
      </c>
    </row>
    <row r="427" spans="1:3" x14ac:dyDescent="0.2">
      <c r="A427">
        <v>6.4638906849154427</v>
      </c>
      <c r="B427">
        <v>8</v>
      </c>
      <c r="C427">
        <v>0</v>
      </c>
    </row>
    <row r="428" spans="1:3" x14ac:dyDescent="0.2">
      <c r="A428">
        <v>8.9188472751179084</v>
      </c>
      <c r="B428">
        <v>5</v>
      </c>
      <c r="C428">
        <v>0</v>
      </c>
    </row>
    <row r="429" spans="1:3" x14ac:dyDescent="0.2">
      <c r="A429">
        <v>6.7187763791148534</v>
      </c>
      <c r="B429">
        <v>0</v>
      </c>
      <c r="C429">
        <v>3</v>
      </c>
    </row>
    <row r="430" spans="1:3" x14ac:dyDescent="0.2">
      <c r="A430">
        <v>6.9995064048644551</v>
      </c>
      <c r="B430">
        <v>0</v>
      </c>
      <c r="C430">
        <v>3</v>
      </c>
    </row>
    <row r="431" spans="1:3" x14ac:dyDescent="0.2">
      <c r="A431">
        <v>8.6832168481882501</v>
      </c>
      <c r="B431">
        <v>5</v>
      </c>
      <c r="C431">
        <v>0</v>
      </c>
    </row>
    <row r="432" spans="1:3" x14ac:dyDescent="0.2">
      <c r="A432">
        <v>5.0638988006363403</v>
      </c>
      <c r="B432">
        <v>0</v>
      </c>
      <c r="C432">
        <v>7</v>
      </c>
    </row>
    <row r="433" spans="1:3" x14ac:dyDescent="0.2">
      <c r="A433">
        <v>3.5533546022314426</v>
      </c>
      <c r="B433">
        <v>0</v>
      </c>
      <c r="C433">
        <v>8</v>
      </c>
    </row>
    <row r="434" spans="1:3" x14ac:dyDescent="0.2">
      <c r="A434">
        <v>5.5091538692787339</v>
      </c>
      <c r="B434">
        <v>0</v>
      </c>
      <c r="C434">
        <v>7</v>
      </c>
    </row>
    <row r="435" spans="1:3" x14ac:dyDescent="0.2">
      <c r="A435">
        <v>2.709500386593747</v>
      </c>
      <c r="B435">
        <v>0</v>
      </c>
      <c r="C435">
        <v>9</v>
      </c>
    </row>
    <row r="436" spans="1:3" x14ac:dyDescent="0.2">
      <c r="A436">
        <v>3.5450652334331565</v>
      </c>
      <c r="B436">
        <v>0</v>
      </c>
      <c r="C436">
        <v>7</v>
      </c>
    </row>
    <row r="437" spans="1:3" x14ac:dyDescent="0.2">
      <c r="A437">
        <v>3.3567375319319899</v>
      </c>
      <c r="B437">
        <v>0</v>
      </c>
      <c r="C437">
        <v>8</v>
      </c>
    </row>
    <row r="438" spans="1:3" x14ac:dyDescent="0.2">
      <c r="A438">
        <v>3.3727710205460686</v>
      </c>
      <c r="B438">
        <v>0</v>
      </c>
      <c r="C438">
        <v>8</v>
      </c>
    </row>
    <row r="439" spans="1:3" x14ac:dyDescent="0.2">
      <c r="A439">
        <v>10.49335448093662</v>
      </c>
      <c r="B439">
        <v>2</v>
      </c>
      <c r="C439">
        <v>0</v>
      </c>
    </row>
    <row r="440" spans="1:3" x14ac:dyDescent="0.2">
      <c r="A440">
        <v>6.6689888747759039</v>
      </c>
      <c r="B440">
        <v>0</v>
      </c>
      <c r="C440">
        <v>5</v>
      </c>
    </row>
    <row r="441" spans="1:3" x14ac:dyDescent="0.2">
      <c r="A441">
        <v>2.8547657210030346</v>
      </c>
      <c r="B441">
        <v>0</v>
      </c>
      <c r="C441">
        <v>9</v>
      </c>
    </row>
    <row r="442" spans="1:3" x14ac:dyDescent="0.2">
      <c r="A442">
        <v>6.9935938820392671</v>
      </c>
      <c r="B442">
        <v>4</v>
      </c>
      <c r="C442">
        <v>0</v>
      </c>
    </row>
    <row r="443" spans="1:3" x14ac:dyDescent="0.2">
      <c r="A443">
        <v>6.2503475922984446</v>
      </c>
      <c r="B443">
        <v>0</v>
      </c>
      <c r="C443">
        <v>6</v>
      </c>
    </row>
    <row r="444" spans="1:3" x14ac:dyDescent="0.2">
      <c r="A444">
        <v>10.444624257485508</v>
      </c>
      <c r="B444">
        <v>3</v>
      </c>
      <c r="C444">
        <v>0</v>
      </c>
    </row>
    <row r="445" spans="1:3" x14ac:dyDescent="0.2">
      <c r="A445">
        <v>10.563612802516769</v>
      </c>
      <c r="B445">
        <v>0</v>
      </c>
      <c r="C445">
        <v>2</v>
      </c>
    </row>
    <row r="446" spans="1:3" x14ac:dyDescent="0.2">
      <c r="A446">
        <v>4.3999757434542106</v>
      </c>
      <c r="B446">
        <v>0</v>
      </c>
      <c r="C446">
        <v>5</v>
      </c>
    </row>
    <row r="447" spans="1:3" x14ac:dyDescent="0.2">
      <c r="A447">
        <v>2.5171013618975402</v>
      </c>
      <c r="B447">
        <v>0</v>
      </c>
      <c r="C447">
        <v>10</v>
      </c>
    </row>
    <row r="448" spans="1:3" x14ac:dyDescent="0.2">
      <c r="A448">
        <v>4.2595377728334212</v>
      </c>
      <c r="B448">
        <v>12</v>
      </c>
      <c r="C448">
        <v>0</v>
      </c>
    </row>
    <row r="449" spans="1:3" x14ac:dyDescent="0.2">
      <c r="A449">
        <v>7.9095197369331096</v>
      </c>
      <c r="B449">
        <v>6</v>
      </c>
      <c r="C449">
        <v>0</v>
      </c>
    </row>
    <row r="450" spans="1:3" x14ac:dyDescent="0.2">
      <c r="A450">
        <v>5.1144483870729625</v>
      </c>
      <c r="B450">
        <v>14</v>
      </c>
      <c r="C450">
        <v>0</v>
      </c>
    </row>
    <row r="451" spans="1:3" x14ac:dyDescent="0.2">
      <c r="A451">
        <v>9.769827685791828</v>
      </c>
      <c r="B451">
        <v>0</v>
      </c>
      <c r="C451">
        <v>3</v>
      </c>
    </row>
    <row r="452" spans="1:3" x14ac:dyDescent="0.2">
      <c r="A452">
        <v>5.2395371052679121</v>
      </c>
      <c r="B452">
        <v>0</v>
      </c>
      <c r="C452">
        <v>4</v>
      </c>
    </row>
    <row r="453" spans="1:3" x14ac:dyDescent="0.2">
      <c r="A453">
        <v>4.8622391388315265</v>
      </c>
      <c r="B453">
        <v>12</v>
      </c>
      <c r="C453">
        <v>0</v>
      </c>
    </row>
    <row r="454" spans="1:3" x14ac:dyDescent="0.2">
      <c r="A454">
        <v>3.4631033179121848</v>
      </c>
      <c r="B454">
        <v>0</v>
      </c>
      <c r="C454">
        <v>8</v>
      </c>
    </row>
    <row r="455" spans="1:3" x14ac:dyDescent="0.2">
      <c r="A455">
        <v>4.0386741906520589</v>
      </c>
      <c r="B455">
        <v>0</v>
      </c>
      <c r="C455">
        <v>6</v>
      </c>
    </row>
    <row r="456" spans="1:3" x14ac:dyDescent="0.2">
      <c r="A456">
        <v>4.6726690586315494</v>
      </c>
      <c r="B456">
        <v>0</v>
      </c>
      <c r="C456">
        <v>10</v>
      </c>
    </row>
    <row r="457" spans="1:3" x14ac:dyDescent="0.2">
      <c r="A457">
        <v>3.2760600670466138</v>
      </c>
      <c r="B457">
        <v>0</v>
      </c>
      <c r="C457">
        <v>8</v>
      </c>
    </row>
    <row r="458" spans="1:3" x14ac:dyDescent="0.2">
      <c r="A458">
        <v>7.1502313625621552</v>
      </c>
      <c r="B458">
        <v>0</v>
      </c>
      <c r="C458">
        <v>5</v>
      </c>
    </row>
    <row r="459" spans="1:3" x14ac:dyDescent="0.2">
      <c r="A459">
        <v>5.4613589037297521</v>
      </c>
      <c r="B459">
        <v>0</v>
      </c>
      <c r="C459">
        <v>7</v>
      </c>
    </row>
    <row r="460" spans="1:3" x14ac:dyDescent="0.2">
      <c r="A460">
        <v>9.5441539993292182</v>
      </c>
      <c r="B460">
        <v>3</v>
      </c>
      <c r="C460">
        <v>0</v>
      </c>
    </row>
    <row r="461" spans="1:3" x14ac:dyDescent="0.2">
      <c r="A461">
        <v>6.5183828912369179</v>
      </c>
      <c r="B461">
        <v>11</v>
      </c>
      <c r="C461">
        <v>0</v>
      </c>
    </row>
    <row r="462" spans="1:3" x14ac:dyDescent="0.2">
      <c r="A462">
        <v>8.2339745300316665</v>
      </c>
      <c r="B462">
        <v>0</v>
      </c>
      <c r="C462">
        <v>4</v>
      </c>
    </row>
    <row r="463" spans="1:3" x14ac:dyDescent="0.2">
      <c r="A463">
        <v>2.7959400448854703</v>
      </c>
      <c r="B463">
        <v>0</v>
      </c>
      <c r="C463">
        <v>9</v>
      </c>
    </row>
    <row r="464" spans="1:3" x14ac:dyDescent="0.2">
      <c r="A464">
        <v>3.3550707374532704</v>
      </c>
      <c r="B464">
        <v>0</v>
      </c>
      <c r="C464">
        <v>8</v>
      </c>
    </row>
    <row r="465" spans="1:3" x14ac:dyDescent="0.2">
      <c r="A465">
        <v>4.656780860463936</v>
      </c>
      <c r="B465">
        <v>0</v>
      </c>
      <c r="C465">
        <v>7</v>
      </c>
    </row>
    <row r="466" spans="1:3" x14ac:dyDescent="0.2">
      <c r="A466">
        <v>3.5826187209750979</v>
      </c>
      <c r="B466">
        <v>14</v>
      </c>
      <c r="C466">
        <v>0</v>
      </c>
    </row>
    <row r="467" spans="1:3" x14ac:dyDescent="0.2">
      <c r="A467">
        <v>5.338663943149049</v>
      </c>
      <c r="B467">
        <v>0</v>
      </c>
      <c r="C467">
        <v>5</v>
      </c>
    </row>
    <row r="468" spans="1:3" x14ac:dyDescent="0.2">
      <c r="A468">
        <v>6.2187484649857536</v>
      </c>
      <c r="B468">
        <v>0</v>
      </c>
      <c r="C468">
        <v>4</v>
      </c>
    </row>
    <row r="469" spans="1:3" x14ac:dyDescent="0.2">
      <c r="A469">
        <v>6.374465836405391</v>
      </c>
      <c r="B469">
        <v>7</v>
      </c>
      <c r="C469">
        <v>0</v>
      </c>
    </row>
    <row r="470" spans="1:3" x14ac:dyDescent="0.2">
      <c r="A470">
        <v>4.9923198475200712</v>
      </c>
      <c r="B470">
        <v>12</v>
      </c>
      <c r="C470">
        <v>0</v>
      </c>
    </row>
    <row r="471" spans="1:3" x14ac:dyDescent="0.2">
      <c r="A471">
        <v>5.9700857069413154</v>
      </c>
      <c r="B471">
        <v>0</v>
      </c>
      <c r="C471">
        <v>6</v>
      </c>
    </row>
    <row r="472" spans="1:3" x14ac:dyDescent="0.2">
      <c r="A472">
        <v>5.0342387472641228</v>
      </c>
      <c r="B472">
        <v>0</v>
      </c>
      <c r="C472">
        <v>8</v>
      </c>
    </row>
    <row r="473" spans="1:3" x14ac:dyDescent="0.2">
      <c r="A473">
        <v>7.2520817664448769</v>
      </c>
      <c r="B473">
        <v>0</v>
      </c>
      <c r="C473">
        <v>5</v>
      </c>
    </row>
    <row r="474" spans="1:3" x14ac:dyDescent="0.2">
      <c r="A474">
        <v>2.4741857504892018</v>
      </c>
      <c r="B474">
        <v>0</v>
      </c>
      <c r="C474">
        <v>9</v>
      </c>
    </row>
    <row r="475" spans="1:3" x14ac:dyDescent="0.2">
      <c r="A475">
        <v>5.8383847630028534</v>
      </c>
      <c r="B475">
        <v>11</v>
      </c>
      <c r="C475">
        <v>0</v>
      </c>
    </row>
    <row r="476" spans="1:3" x14ac:dyDescent="0.2">
      <c r="A476">
        <v>7.1386335263185581</v>
      </c>
      <c r="B476">
        <v>0</v>
      </c>
      <c r="C476">
        <v>3</v>
      </c>
    </row>
    <row r="477" spans="1:3" x14ac:dyDescent="0.2">
      <c r="A477">
        <v>4.8198297428857675</v>
      </c>
      <c r="B477">
        <v>0</v>
      </c>
      <c r="C477">
        <v>5</v>
      </c>
    </row>
    <row r="478" spans="1:3" x14ac:dyDescent="0.2">
      <c r="A478">
        <v>4.5632767918488444</v>
      </c>
      <c r="B478">
        <v>14</v>
      </c>
      <c r="C478">
        <v>0</v>
      </c>
    </row>
    <row r="479" spans="1:3" x14ac:dyDescent="0.2">
      <c r="A479">
        <v>6.6183314770479509</v>
      </c>
      <c r="B479">
        <v>0</v>
      </c>
      <c r="C479">
        <v>6</v>
      </c>
    </row>
    <row r="480" spans="1:3" x14ac:dyDescent="0.2">
      <c r="A480">
        <v>4.9709468988790571</v>
      </c>
      <c r="B480">
        <v>12</v>
      </c>
      <c r="C480">
        <v>0</v>
      </c>
    </row>
    <row r="481" spans="1:3" x14ac:dyDescent="0.2">
      <c r="A481">
        <v>4.9111241850881147</v>
      </c>
      <c r="B481">
        <v>8</v>
      </c>
      <c r="C481">
        <v>0</v>
      </c>
    </row>
    <row r="482" spans="1:3" x14ac:dyDescent="0.2">
      <c r="A482">
        <v>6.9027148788880011</v>
      </c>
      <c r="B482">
        <v>9</v>
      </c>
      <c r="C482">
        <v>0</v>
      </c>
    </row>
    <row r="483" spans="1:3" x14ac:dyDescent="0.2">
      <c r="A483">
        <v>4.0001951198902734</v>
      </c>
      <c r="B483">
        <v>0</v>
      </c>
      <c r="C483">
        <v>9</v>
      </c>
    </row>
    <row r="484" spans="1:3" x14ac:dyDescent="0.2">
      <c r="A484">
        <v>4.6683821921432713</v>
      </c>
      <c r="B484">
        <v>0</v>
      </c>
      <c r="C484">
        <v>9</v>
      </c>
    </row>
    <row r="485" spans="1:3" x14ac:dyDescent="0.2">
      <c r="A485">
        <v>5.0251903745325652</v>
      </c>
      <c r="B485">
        <v>0</v>
      </c>
      <c r="C485">
        <v>6</v>
      </c>
    </row>
    <row r="486" spans="1:3" x14ac:dyDescent="0.2">
      <c r="A486">
        <v>5.9063443320225453</v>
      </c>
      <c r="B486">
        <v>0</v>
      </c>
      <c r="C486">
        <v>5</v>
      </c>
    </row>
    <row r="487" spans="1:3" x14ac:dyDescent="0.2">
      <c r="A487">
        <v>7.7956949357342529</v>
      </c>
      <c r="B487">
        <v>0</v>
      </c>
      <c r="C487">
        <v>6</v>
      </c>
    </row>
    <row r="488" spans="1:3" x14ac:dyDescent="0.2">
      <c r="A488">
        <v>6.3980171707123272</v>
      </c>
      <c r="B488">
        <v>8</v>
      </c>
      <c r="C488">
        <v>0</v>
      </c>
    </row>
    <row r="489" spans="1:3" x14ac:dyDescent="0.2">
      <c r="A489">
        <v>9.1501024912957263</v>
      </c>
      <c r="B489">
        <v>0</v>
      </c>
      <c r="C489">
        <v>4</v>
      </c>
    </row>
    <row r="490" spans="1:3" x14ac:dyDescent="0.2">
      <c r="A490">
        <v>4.9412836637445192</v>
      </c>
      <c r="B490">
        <v>0</v>
      </c>
      <c r="C490">
        <v>6</v>
      </c>
    </row>
    <row r="491" spans="1:3" x14ac:dyDescent="0.2">
      <c r="A491">
        <v>5.0619891510694437</v>
      </c>
      <c r="B491">
        <v>0</v>
      </c>
      <c r="C491">
        <v>7</v>
      </c>
    </row>
    <row r="492" spans="1:3" x14ac:dyDescent="0.2">
      <c r="A492">
        <v>2.9172914770533254</v>
      </c>
      <c r="B492">
        <v>0</v>
      </c>
      <c r="C492">
        <v>9</v>
      </c>
    </row>
    <row r="493" spans="1:3" x14ac:dyDescent="0.2">
      <c r="A493">
        <v>4.3729904171733969</v>
      </c>
      <c r="B493">
        <v>0</v>
      </c>
      <c r="C493">
        <v>8</v>
      </c>
    </row>
    <row r="494" spans="1:3" x14ac:dyDescent="0.2">
      <c r="A494">
        <v>5.3485309485900805</v>
      </c>
      <c r="B494">
        <v>0</v>
      </c>
      <c r="C494">
        <v>8</v>
      </c>
    </row>
    <row r="495" spans="1:3" x14ac:dyDescent="0.2">
      <c r="A495">
        <v>4.5307055889093935</v>
      </c>
      <c r="B495">
        <v>0</v>
      </c>
      <c r="C495">
        <v>8</v>
      </c>
    </row>
    <row r="496" spans="1:3" x14ac:dyDescent="0.2">
      <c r="A496">
        <v>6.2785917581141746</v>
      </c>
      <c r="B496">
        <v>14</v>
      </c>
      <c r="C496">
        <v>0</v>
      </c>
    </row>
    <row r="497" spans="1:3" x14ac:dyDescent="0.2">
      <c r="A497">
        <v>4.0913546027309184</v>
      </c>
      <c r="B497">
        <v>0</v>
      </c>
      <c r="C497">
        <v>6</v>
      </c>
    </row>
    <row r="498" spans="1:3" x14ac:dyDescent="0.2">
      <c r="A498">
        <v>5.8470411727028582</v>
      </c>
      <c r="B498">
        <v>0</v>
      </c>
      <c r="C498">
        <v>7</v>
      </c>
    </row>
    <row r="499" spans="1:3" x14ac:dyDescent="0.2">
      <c r="A499">
        <v>6.633106077638951</v>
      </c>
      <c r="B499">
        <v>0</v>
      </c>
      <c r="C499">
        <v>4</v>
      </c>
    </row>
    <row r="500" spans="1:3" x14ac:dyDescent="0.2">
      <c r="A500">
        <v>3.3818023524207277</v>
      </c>
      <c r="B500">
        <v>0</v>
      </c>
      <c r="C500">
        <v>7</v>
      </c>
    </row>
    <row r="501" spans="1:3" x14ac:dyDescent="0.2">
      <c r="A501">
        <v>4.0634322656832786</v>
      </c>
      <c r="B501">
        <v>0</v>
      </c>
      <c r="C501">
        <v>9</v>
      </c>
    </row>
    <row r="502" spans="1:3" x14ac:dyDescent="0.2">
      <c r="A502">
        <v>2.750825810512703</v>
      </c>
      <c r="B502">
        <v>10</v>
      </c>
      <c r="C502">
        <v>0</v>
      </c>
    </row>
    <row r="503" spans="1:3" x14ac:dyDescent="0.2">
      <c r="A503">
        <v>5.7609247723536017</v>
      </c>
      <c r="B503">
        <v>0</v>
      </c>
      <c r="C503">
        <v>4</v>
      </c>
    </row>
    <row r="504" spans="1:3" x14ac:dyDescent="0.2">
      <c r="A504">
        <v>8.021435122079847</v>
      </c>
      <c r="B504">
        <v>5</v>
      </c>
      <c r="C504">
        <v>0</v>
      </c>
    </row>
    <row r="505" spans="1:3" x14ac:dyDescent="0.2">
      <c r="A505">
        <v>3.336894075537673</v>
      </c>
      <c r="B505">
        <v>0</v>
      </c>
      <c r="C505">
        <v>7</v>
      </c>
    </row>
    <row r="506" spans="1:3" x14ac:dyDescent="0.2">
      <c r="A506">
        <v>5.1311263346807943</v>
      </c>
      <c r="B506">
        <v>0</v>
      </c>
      <c r="C506">
        <v>5</v>
      </c>
    </row>
    <row r="507" spans="1:3" x14ac:dyDescent="0.2">
      <c r="A507">
        <v>3.7982074858095354</v>
      </c>
      <c r="B507">
        <v>0</v>
      </c>
      <c r="C507">
        <v>9</v>
      </c>
    </row>
    <row r="508" spans="1:3" x14ac:dyDescent="0.2">
      <c r="A508">
        <v>2.6598188857216654</v>
      </c>
      <c r="B508">
        <v>0</v>
      </c>
      <c r="C508">
        <v>10</v>
      </c>
    </row>
    <row r="509" spans="1:3" x14ac:dyDescent="0.2">
      <c r="A509">
        <v>3.3910029103620567</v>
      </c>
      <c r="B509">
        <v>11</v>
      </c>
      <c r="C509">
        <v>0</v>
      </c>
    </row>
    <row r="510" spans="1:3" x14ac:dyDescent="0.2">
      <c r="A510">
        <v>3.0510981729460038</v>
      </c>
      <c r="B510">
        <v>0</v>
      </c>
      <c r="C510">
        <v>8</v>
      </c>
    </row>
    <row r="511" spans="1:3" x14ac:dyDescent="0.2">
      <c r="A511">
        <v>11.755563918544606</v>
      </c>
      <c r="B511">
        <v>3</v>
      </c>
      <c r="C511">
        <v>0</v>
      </c>
    </row>
    <row r="512" spans="1:3" x14ac:dyDescent="0.2">
      <c r="A512">
        <v>5.7359057403683886</v>
      </c>
      <c r="B512">
        <v>7</v>
      </c>
      <c r="C512">
        <v>0</v>
      </c>
    </row>
    <row r="513" spans="1:3" x14ac:dyDescent="0.2">
      <c r="A513">
        <v>9.3419100314374894</v>
      </c>
      <c r="B513">
        <v>10</v>
      </c>
      <c r="C513">
        <v>0</v>
      </c>
    </row>
    <row r="514" spans="1:3" x14ac:dyDescent="0.2">
      <c r="A514">
        <v>4.0579869948743665</v>
      </c>
      <c r="B514">
        <v>0</v>
      </c>
      <c r="C514">
        <v>8</v>
      </c>
    </row>
    <row r="515" spans="1:3" x14ac:dyDescent="0.2">
      <c r="A515">
        <v>5.73815824441232</v>
      </c>
      <c r="B515">
        <v>0</v>
      </c>
      <c r="C515">
        <v>6</v>
      </c>
    </row>
    <row r="516" spans="1:3" x14ac:dyDescent="0.2">
      <c r="A516">
        <v>7.2574708351635024</v>
      </c>
      <c r="B516">
        <v>0</v>
      </c>
      <c r="C516">
        <v>3</v>
      </c>
    </row>
    <row r="517" spans="1:3" x14ac:dyDescent="0.2">
      <c r="A517">
        <v>5.6206913563269794</v>
      </c>
      <c r="B517">
        <v>0</v>
      </c>
      <c r="C517">
        <v>5</v>
      </c>
    </row>
    <row r="518" spans="1:3" x14ac:dyDescent="0.2">
      <c r="A518">
        <v>9.6855453002963863</v>
      </c>
      <c r="B518">
        <v>7</v>
      </c>
      <c r="C518">
        <v>0</v>
      </c>
    </row>
    <row r="519" spans="1:3" x14ac:dyDescent="0.2">
      <c r="A519">
        <v>9.0128820961536498</v>
      </c>
      <c r="B519">
        <v>0</v>
      </c>
      <c r="C519">
        <v>5</v>
      </c>
    </row>
    <row r="520" spans="1:3" x14ac:dyDescent="0.2">
      <c r="A520">
        <v>6.9563324082478823</v>
      </c>
      <c r="B520">
        <v>0</v>
      </c>
      <c r="C520">
        <v>5</v>
      </c>
    </row>
    <row r="521" spans="1:3" x14ac:dyDescent="0.2">
      <c r="A521">
        <v>6.613762928724368</v>
      </c>
      <c r="B521">
        <v>0</v>
      </c>
      <c r="C521">
        <v>6</v>
      </c>
    </row>
    <row r="522" spans="1:3" x14ac:dyDescent="0.2">
      <c r="A522">
        <v>6.903090139822682</v>
      </c>
      <c r="B522">
        <v>0</v>
      </c>
      <c r="C522">
        <v>5</v>
      </c>
    </row>
    <row r="523" spans="1:3" x14ac:dyDescent="0.2">
      <c r="A523">
        <v>4.4403106292301535</v>
      </c>
      <c r="B523">
        <v>0</v>
      </c>
      <c r="C523">
        <v>8</v>
      </c>
    </row>
    <row r="524" spans="1:3" x14ac:dyDescent="0.2">
      <c r="A524">
        <v>2.9619531871569076</v>
      </c>
      <c r="B524">
        <v>0</v>
      </c>
      <c r="C524">
        <v>9</v>
      </c>
    </row>
    <row r="525" spans="1:3" x14ac:dyDescent="0.2">
      <c r="A525">
        <v>5.8001548353940269</v>
      </c>
      <c r="B525">
        <v>6</v>
      </c>
      <c r="C525">
        <v>0</v>
      </c>
    </row>
    <row r="526" spans="1:3" x14ac:dyDescent="0.2">
      <c r="A526">
        <v>4.4911556371238888</v>
      </c>
      <c r="B526">
        <v>0</v>
      </c>
      <c r="C526">
        <v>9</v>
      </c>
    </row>
    <row r="527" spans="1:3" x14ac:dyDescent="0.2">
      <c r="A527">
        <v>4.4649832564150573</v>
      </c>
      <c r="B527">
        <v>0</v>
      </c>
      <c r="C527">
        <v>8</v>
      </c>
    </row>
    <row r="528" spans="1:3" x14ac:dyDescent="0.2">
      <c r="A528">
        <v>4.1451797932388796</v>
      </c>
      <c r="B528">
        <v>14</v>
      </c>
      <c r="C528">
        <v>0</v>
      </c>
    </row>
    <row r="529" spans="1:3" x14ac:dyDescent="0.2">
      <c r="A529">
        <v>4.1272899679126462</v>
      </c>
      <c r="B529">
        <v>0</v>
      </c>
      <c r="C529">
        <v>6</v>
      </c>
    </row>
    <row r="530" spans="1:3" x14ac:dyDescent="0.2">
      <c r="A530">
        <v>5.8550980034117339</v>
      </c>
      <c r="B530">
        <v>0</v>
      </c>
      <c r="C530">
        <v>5</v>
      </c>
    </row>
    <row r="531" spans="1:3" x14ac:dyDescent="0.2">
      <c r="A531">
        <v>4.3372713739759634</v>
      </c>
      <c r="B531">
        <v>10</v>
      </c>
      <c r="C531">
        <v>0</v>
      </c>
    </row>
    <row r="532" spans="1:3" x14ac:dyDescent="0.2">
      <c r="A532">
        <v>6.2537234871740459</v>
      </c>
      <c r="B532">
        <v>0</v>
      </c>
      <c r="C532">
        <v>6</v>
      </c>
    </row>
    <row r="533" spans="1:3" x14ac:dyDescent="0.2">
      <c r="A533">
        <v>6.2932508384043668</v>
      </c>
      <c r="B533">
        <v>0</v>
      </c>
      <c r="C533">
        <v>5</v>
      </c>
    </row>
    <row r="534" spans="1:3" x14ac:dyDescent="0.2">
      <c r="A534">
        <v>5.2853625923338701</v>
      </c>
      <c r="B534">
        <v>0</v>
      </c>
      <c r="C534">
        <v>5</v>
      </c>
    </row>
    <row r="535" spans="1:3" x14ac:dyDescent="0.2">
      <c r="A535">
        <v>3.7978595607556587</v>
      </c>
      <c r="B535">
        <v>0</v>
      </c>
      <c r="C535">
        <v>8</v>
      </c>
    </row>
    <row r="536" spans="1:3" x14ac:dyDescent="0.2">
      <c r="A536">
        <v>8.5495089594737994</v>
      </c>
      <c r="B536">
        <v>6</v>
      </c>
      <c r="C536">
        <v>0</v>
      </c>
    </row>
    <row r="537" spans="1:3" x14ac:dyDescent="0.2">
      <c r="A537">
        <v>8.3639257157036333</v>
      </c>
      <c r="B537">
        <v>3</v>
      </c>
      <c r="C537">
        <v>0</v>
      </c>
    </row>
    <row r="538" spans="1:3" x14ac:dyDescent="0.2">
      <c r="A538">
        <v>4.0087142437451533</v>
      </c>
      <c r="B538">
        <v>12</v>
      </c>
      <c r="C538">
        <v>0</v>
      </c>
    </row>
    <row r="539" spans="1:3" x14ac:dyDescent="0.2">
      <c r="A539">
        <v>2.3163370263671386</v>
      </c>
      <c r="B539">
        <v>0</v>
      </c>
      <c r="C539">
        <v>9</v>
      </c>
    </row>
    <row r="540" spans="1:3" x14ac:dyDescent="0.2">
      <c r="A540">
        <v>7.7046147005880679</v>
      </c>
      <c r="B540">
        <v>0</v>
      </c>
      <c r="C540">
        <v>5</v>
      </c>
    </row>
    <row r="541" spans="1:3" x14ac:dyDescent="0.2">
      <c r="A541">
        <v>13.624265044236873</v>
      </c>
      <c r="B541">
        <v>3</v>
      </c>
      <c r="C541">
        <v>0</v>
      </c>
    </row>
    <row r="542" spans="1:3" x14ac:dyDescent="0.2">
      <c r="A542">
        <v>8.2066713351660443</v>
      </c>
      <c r="B542">
        <v>5</v>
      </c>
      <c r="C542">
        <v>0</v>
      </c>
    </row>
    <row r="543" spans="1:3" x14ac:dyDescent="0.2">
      <c r="A543">
        <v>4.4004266034254806</v>
      </c>
      <c r="B543">
        <v>0</v>
      </c>
      <c r="C543">
        <v>7</v>
      </c>
    </row>
    <row r="544" spans="1:3" x14ac:dyDescent="0.2">
      <c r="A544">
        <v>5.3914617297604917</v>
      </c>
      <c r="B544">
        <v>0</v>
      </c>
      <c r="C544">
        <v>4</v>
      </c>
    </row>
    <row r="545" spans="1:3" x14ac:dyDescent="0.2">
      <c r="A545">
        <v>8.4629528813160082</v>
      </c>
      <c r="B545">
        <v>0</v>
      </c>
      <c r="C545">
        <v>4</v>
      </c>
    </row>
    <row r="546" spans="1:3" x14ac:dyDescent="0.2">
      <c r="A546">
        <v>3.787532237440324</v>
      </c>
      <c r="B546">
        <v>0</v>
      </c>
      <c r="C546">
        <v>9</v>
      </c>
    </row>
    <row r="547" spans="1:3" x14ac:dyDescent="0.2">
      <c r="A547">
        <v>6.7018976242431378</v>
      </c>
      <c r="B547">
        <v>8</v>
      </c>
      <c r="C547">
        <v>0</v>
      </c>
    </row>
    <row r="548" spans="1:3" x14ac:dyDescent="0.2">
      <c r="A548">
        <v>5.8840974634590077</v>
      </c>
      <c r="B548">
        <v>0</v>
      </c>
      <c r="C548">
        <v>5</v>
      </c>
    </row>
    <row r="549" spans="1:3" x14ac:dyDescent="0.2">
      <c r="A549">
        <v>2.7128151785447403</v>
      </c>
      <c r="B549">
        <v>0</v>
      </c>
      <c r="C549">
        <v>8</v>
      </c>
    </row>
    <row r="550" spans="1:3" x14ac:dyDescent="0.2">
      <c r="A550">
        <v>6.647106803363922</v>
      </c>
      <c r="B550">
        <v>0</v>
      </c>
      <c r="C550">
        <v>6</v>
      </c>
    </row>
    <row r="551" spans="1:3" x14ac:dyDescent="0.2">
      <c r="A551">
        <v>4.1301175439278399</v>
      </c>
      <c r="B551">
        <v>0</v>
      </c>
      <c r="C551">
        <v>7</v>
      </c>
    </row>
    <row r="552" spans="1:3" x14ac:dyDescent="0.2">
      <c r="A552">
        <v>12.24415652160763</v>
      </c>
      <c r="B552">
        <v>0</v>
      </c>
      <c r="C552">
        <v>3</v>
      </c>
    </row>
    <row r="553" spans="1:3" x14ac:dyDescent="0.2">
      <c r="A553">
        <v>7.4347485365329122</v>
      </c>
      <c r="B553">
        <v>8</v>
      </c>
      <c r="C553">
        <v>0</v>
      </c>
    </row>
    <row r="554" spans="1:3" x14ac:dyDescent="0.2">
      <c r="A554">
        <v>7.4040271197894949</v>
      </c>
      <c r="B554">
        <v>0</v>
      </c>
      <c r="C554">
        <v>3</v>
      </c>
    </row>
    <row r="555" spans="1:3" x14ac:dyDescent="0.2">
      <c r="A555">
        <v>4.1265575504996281</v>
      </c>
      <c r="B555">
        <v>0</v>
      </c>
      <c r="C555">
        <v>8</v>
      </c>
    </row>
    <row r="556" spans="1:3" x14ac:dyDescent="0.2">
      <c r="A556">
        <v>3.9249594853305045</v>
      </c>
      <c r="B556">
        <v>10</v>
      </c>
      <c r="C556">
        <v>0</v>
      </c>
    </row>
    <row r="557" spans="1:3" x14ac:dyDescent="0.2">
      <c r="A557">
        <v>4.5111911406874476</v>
      </c>
      <c r="B557">
        <v>0</v>
      </c>
      <c r="C557">
        <v>8</v>
      </c>
    </row>
    <row r="558" spans="1:3" x14ac:dyDescent="0.2">
      <c r="A558">
        <v>3.6487369472281572</v>
      </c>
      <c r="B558">
        <v>13</v>
      </c>
      <c r="C558">
        <v>0</v>
      </c>
    </row>
    <row r="559" spans="1:3" x14ac:dyDescent="0.2">
      <c r="A559">
        <v>5.9522958118239915</v>
      </c>
      <c r="B559">
        <v>0</v>
      </c>
      <c r="C559">
        <v>5</v>
      </c>
    </row>
    <row r="560" spans="1:3" x14ac:dyDescent="0.2">
      <c r="A560">
        <v>3.5660668039009376</v>
      </c>
      <c r="B560">
        <v>0</v>
      </c>
      <c r="C560">
        <v>9</v>
      </c>
    </row>
    <row r="561" spans="1:3" x14ac:dyDescent="0.2">
      <c r="A561">
        <v>8.2480779389109049</v>
      </c>
      <c r="B561">
        <v>0</v>
      </c>
      <c r="C561">
        <v>4</v>
      </c>
    </row>
    <row r="562" spans="1:3" x14ac:dyDescent="0.2">
      <c r="A562">
        <v>4.0742551755704035</v>
      </c>
      <c r="B562">
        <v>0</v>
      </c>
      <c r="C562">
        <v>8</v>
      </c>
    </row>
    <row r="563" spans="1:3" x14ac:dyDescent="0.2">
      <c r="A563">
        <v>6.0719520942617269</v>
      </c>
      <c r="B563">
        <v>0</v>
      </c>
      <c r="C563">
        <v>6</v>
      </c>
    </row>
    <row r="564" spans="1:3" x14ac:dyDescent="0.2">
      <c r="A564">
        <v>4.3422135239509556</v>
      </c>
      <c r="B564">
        <v>0</v>
      </c>
      <c r="C564">
        <v>8</v>
      </c>
    </row>
    <row r="565" spans="1:3" x14ac:dyDescent="0.2">
      <c r="A565">
        <v>5.5398668328656182</v>
      </c>
      <c r="B565">
        <v>0</v>
      </c>
      <c r="C565">
        <v>6</v>
      </c>
    </row>
    <row r="566" spans="1:3" x14ac:dyDescent="0.2">
      <c r="A566">
        <v>6.7874403013990401</v>
      </c>
      <c r="B566">
        <v>0</v>
      </c>
      <c r="C566">
        <v>5</v>
      </c>
    </row>
    <row r="567" spans="1:3" x14ac:dyDescent="0.2">
      <c r="A567">
        <v>4.6892466303347415</v>
      </c>
      <c r="B567">
        <v>11</v>
      </c>
      <c r="C567">
        <v>0</v>
      </c>
    </row>
    <row r="568" spans="1:3" x14ac:dyDescent="0.2">
      <c r="A568">
        <v>4.9961443600812245</v>
      </c>
      <c r="B568">
        <v>0</v>
      </c>
      <c r="C568">
        <v>4</v>
      </c>
    </row>
    <row r="569" spans="1:3" x14ac:dyDescent="0.2">
      <c r="A569">
        <v>3.4377301423689515</v>
      </c>
      <c r="B569">
        <v>16</v>
      </c>
      <c r="C569">
        <v>0</v>
      </c>
    </row>
    <row r="570" spans="1:3" x14ac:dyDescent="0.2">
      <c r="A570">
        <v>9.1663410339881626</v>
      </c>
      <c r="B570">
        <v>3</v>
      </c>
      <c r="C570">
        <v>0</v>
      </c>
    </row>
    <row r="571" spans="1:3" x14ac:dyDescent="0.2">
      <c r="A571">
        <v>4.6209977171205381</v>
      </c>
      <c r="B571">
        <v>0</v>
      </c>
      <c r="C571">
        <v>7</v>
      </c>
    </row>
    <row r="572" spans="1:3" x14ac:dyDescent="0.2">
      <c r="A572">
        <v>12.280816917327508</v>
      </c>
      <c r="B572">
        <v>4</v>
      </c>
      <c r="C572">
        <v>0</v>
      </c>
    </row>
    <row r="573" spans="1:3" x14ac:dyDescent="0.2">
      <c r="A573">
        <v>4.0572837592601623</v>
      </c>
      <c r="B573">
        <v>10</v>
      </c>
      <c r="C573">
        <v>0</v>
      </c>
    </row>
    <row r="574" spans="1:3" x14ac:dyDescent="0.2">
      <c r="A574">
        <v>2.3902518821849137</v>
      </c>
      <c r="B574">
        <v>17</v>
      </c>
      <c r="C574">
        <v>0</v>
      </c>
    </row>
    <row r="575" spans="1:3" x14ac:dyDescent="0.2">
      <c r="A575">
        <v>2.2245893004430428</v>
      </c>
      <c r="B575">
        <v>12</v>
      </c>
      <c r="C575">
        <v>0</v>
      </c>
    </row>
    <row r="576" spans="1:3" x14ac:dyDescent="0.2">
      <c r="A576">
        <v>3.9350451564180005</v>
      </c>
      <c r="B576">
        <v>0</v>
      </c>
      <c r="C576">
        <v>5</v>
      </c>
    </row>
    <row r="577" spans="1:3" x14ac:dyDescent="0.2">
      <c r="A577">
        <v>3.4389311954225197</v>
      </c>
      <c r="B577">
        <v>0</v>
      </c>
      <c r="C577">
        <v>6</v>
      </c>
    </row>
    <row r="578" spans="1:3" x14ac:dyDescent="0.2">
      <c r="A578">
        <v>6.681116848435166</v>
      </c>
      <c r="B578">
        <v>0</v>
      </c>
      <c r="C578">
        <v>3</v>
      </c>
    </row>
    <row r="579" spans="1:3" x14ac:dyDescent="0.2">
      <c r="A579">
        <v>5.2651371162354517</v>
      </c>
      <c r="B579">
        <v>0</v>
      </c>
      <c r="C579">
        <v>6</v>
      </c>
    </row>
    <row r="580" spans="1:3" x14ac:dyDescent="0.2">
      <c r="A580">
        <v>7.4950261357826635</v>
      </c>
      <c r="B580">
        <v>0</v>
      </c>
      <c r="C580">
        <v>3</v>
      </c>
    </row>
    <row r="581" spans="1:3" x14ac:dyDescent="0.2">
      <c r="A581">
        <v>6.1770045916263223</v>
      </c>
      <c r="B581">
        <v>0</v>
      </c>
      <c r="C581">
        <v>6</v>
      </c>
    </row>
    <row r="582" spans="1:3" x14ac:dyDescent="0.2">
      <c r="A582">
        <v>4.5433671573017644</v>
      </c>
      <c r="B582">
        <v>0</v>
      </c>
      <c r="C582">
        <v>8</v>
      </c>
    </row>
    <row r="583" spans="1:3" x14ac:dyDescent="0.2">
      <c r="A583">
        <v>7.2920250744161477</v>
      </c>
      <c r="B583">
        <v>0</v>
      </c>
      <c r="C583">
        <v>7</v>
      </c>
    </row>
    <row r="584" spans="1:3" x14ac:dyDescent="0.2">
      <c r="A584">
        <v>5.6289431321750767</v>
      </c>
      <c r="B584">
        <v>0</v>
      </c>
      <c r="C584">
        <v>5</v>
      </c>
    </row>
    <row r="585" spans="1:3" x14ac:dyDescent="0.2">
      <c r="A585">
        <v>6.2438053892504675</v>
      </c>
      <c r="B585">
        <v>0</v>
      </c>
      <c r="C585">
        <v>5</v>
      </c>
    </row>
    <row r="586" spans="1:3" x14ac:dyDescent="0.2">
      <c r="A586">
        <v>6.9444529520063654</v>
      </c>
      <c r="B586">
        <v>0</v>
      </c>
      <c r="C586">
        <v>3</v>
      </c>
    </row>
    <row r="587" spans="1:3" x14ac:dyDescent="0.2">
      <c r="A587">
        <v>5.6910503658241227</v>
      </c>
      <c r="B587">
        <v>6</v>
      </c>
      <c r="C587">
        <v>0</v>
      </c>
    </row>
    <row r="588" spans="1:3" x14ac:dyDescent="0.2">
      <c r="A588">
        <v>4.1188609532798433</v>
      </c>
      <c r="B588">
        <v>0</v>
      </c>
      <c r="C588">
        <v>9</v>
      </c>
    </row>
    <row r="589" spans="1:3" x14ac:dyDescent="0.2">
      <c r="A589">
        <v>3.34202695411224</v>
      </c>
      <c r="B589">
        <v>0</v>
      </c>
      <c r="C589">
        <v>8</v>
      </c>
    </row>
    <row r="590" spans="1:3" x14ac:dyDescent="0.2">
      <c r="A590">
        <v>3.8860162500705755</v>
      </c>
      <c r="B590">
        <v>0</v>
      </c>
      <c r="C590">
        <v>10</v>
      </c>
    </row>
    <row r="591" spans="1:3" x14ac:dyDescent="0.2">
      <c r="A591">
        <v>3.2016753362139916</v>
      </c>
      <c r="B591">
        <v>0</v>
      </c>
      <c r="C591">
        <v>10</v>
      </c>
    </row>
    <row r="592" spans="1:3" x14ac:dyDescent="0.2">
      <c r="A592">
        <v>6.8174339584409944</v>
      </c>
      <c r="B592">
        <v>9</v>
      </c>
      <c r="C592">
        <v>0</v>
      </c>
    </row>
    <row r="593" spans="1:3" x14ac:dyDescent="0.2">
      <c r="A593">
        <v>5.0798642679610992</v>
      </c>
      <c r="B593">
        <v>16</v>
      </c>
      <c r="C593">
        <v>0</v>
      </c>
    </row>
    <row r="594" spans="1:3" x14ac:dyDescent="0.2">
      <c r="A594">
        <v>4.5939599957997004</v>
      </c>
      <c r="B594">
        <v>0</v>
      </c>
      <c r="C594">
        <v>10</v>
      </c>
    </row>
    <row r="595" spans="1:3" x14ac:dyDescent="0.2">
      <c r="A595">
        <v>5.4233425689645829</v>
      </c>
      <c r="B595">
        <v>9</v>
      </c>
      <c r="C595">
        <v>0</v>
      </c>
    </row>
    <row r="596" spans="1:3" x14ac:dyDescent="0.2">
      <c r="A596">
        <v>4.2813203899110146</v>
      </c>
      <c r="B596">
        <v>0</v>
      </c>
      <c r="C596">
        <v>7</v>
      </c>
    </row>
    <row r="597" spans="1:3" x14ac:dyDescent="0.2">
      <c r="A597">
        <v>6.7498441719005609</v>
      </c>
      <c r="B597">
        <v>0</v>
      </c>
      <c r="C597">
        <v>5</v>
      </c>
    </row>
    <row r="598" spans="1:3" x14ac:dyDescent="0.2">
      <c r="A598">
        <v>3.6328423302599777</v>
      </c>
      <c r="B598">
        <v>0</v>
      </c>
      <c r="C598">
        <v>10</v>
      </c>
    </row>
    <row r="599" spans="1:3" x14ac:dyDescent="0.2">
      <c r="A599">
        <v>3.4950263744601484</v>
      </c>
      <c r="B599">
        <v>0</v>
      </c>
      <c r="C599">
        <v>9</v>
      </c>
    </row>
    <row r="600" spans="1:3" x14ac:dyDescent="0.2">
      <c r="A600">
        <v>4.7491283365190116</v>
      </c>
      <c r="B600">
        <v>0</v>
      </c>
      <c r="C600">
        <v>7</v>
      </c>
    </row>
    <row r="601" spans="1:3" x14ac:dyDescent="0.2">
      <c r="A601">
        <v>3.0887166143916569</v>
      </c>
      <c r="B601">
        <v>14</v>
      </c>
      <c r="C601">
        <v>0</v>
      </c>
    </row>
    <row r="602" spans="1:3" x14ac:dyDescent="0.2">
      <c r="A602">
        <v>5.2672114455559393</v>
      </c>
      <c r="B602">
        <v>0</v>
      </c>
      <c r="C602">
        <v>7</v>
      </c>
    </row>
    <row r="603" spans="1:3" x14ac:dyDescent="0.2">
      <c r="A603">
        <v>5.6355649640506735</v>
      </c>
      <c r="B603">
        <v>11</v>
      </c>
      <c r="C603">
        <v>0</v>
      </c>
    </row>
    <row r="604" spans="1:3" x14ac:dyDescent="0.2">
      <c r="A604">
        <v>4.6429957024547139</v>
      </c>
      <c r="B604">
        <v>12</v>
      </c>
      <c r="C604">
        <v>0</v>
      </c>
    </row>
    <row r="605" spans="1:3" x14ac:dyDescent="0.2">
      <c r="A605">
        <v>6.3093275231034811</v>
      </c>
      <c r="B605">
        <v>0</v>
      </c>
      <c r="C605">
        <v>7</v>
      </c>
    </row>
    <row r="606" spans="1:3" x14ac:dyDescent="0.2">
      <c r="A606">
        <v>10.443955079283139</v>
      </c>
      <c r="B606">
        <v>0</v>
      </c>
      <c r="C606">
        <v>2</v>
      </c>
    </row>
    <row r="607" spans="1:3" x14ac:dyDescent="0.2">
      <c r="A607">
        <v>9.5203027415534827</v>
      </c>
      <c r="B607">
        <v>11</v>
      </c>
      <c r="C607">
        <v>0</v>
      </c>
    </row>
    <row r="608" spans="1:3" x14ac:dyDescent="0.2">
      <c r="A608">
        <v>5.3031897859098978</v>
      </c>
      <c r="B608">
        <v>0</v>
      </c>
      <c r="C608">
        <v>9</v>
      </c>
    </row>
    <row r="609" spans="1:3" x14ac:dyDescent="0.2">
      <c r="A609">
        <v>21.426676910750828</v>
      </c>
      <c r="B609">
        <v>0</v>
      </c>
      <c r="C609">
        <v>1</v>
      </c>
    </row>
    <row r="610" spans="1:3" x14ac:dyDescent="0.2">
      <c r="A610">
        <v>7.7603392337139061</v>
      </c>
      <c r="B610">
        <v>0</v>
      </c>
      <c r="C610">
        <v>1</v>
      </c>
    </row>
    <row r="611" spans="1:3" x14ac:dyDescent="0.2">
      <c r="A611">
        <v>7.5716210252785805</v>
      </c>
      <c r="B611">
        <v>0</v>
      </c>
      <c r="C611">
        <v>3</v>
      </c>
    </row>
    <row r="612" spans="1:3" x14ac:dyDescent="0.2">
      <c r="A612">
        <v>3.3220870176538049</v>
      </c>
      <c r="B612">
        <v>16</v>
      </c>
      <c r="C612">
        <v>0</v>
      </c>
    </row>
    <row r="613" spans="1:3" x14ac:dyDescent="0.2">
      <c r="A613">
        <v>4.5753717757184429</v>
      </c>
      <c r="B613">
        <v>0</v>
      </c>
      <c r="C613">
        <v>3</v>
      </c>
    </row>
    <row r="614" spans="1:3" x14ac:dyDescent="0.2">
      <c r="A614">
        <v>2.7849747578639872</v>
      </c>
      <c r="B614">
        <v>0</v>
      </c>
      <c r="C614">
        <v>5</v>
      </c>
    </row>
    <row r="615" spans="1:3" x14ac:dyDescent="0.2">
      <c r="A615">
        <v>10.171698203639254</v>
      </c>
      <c r="B615">
        <v>0</v>
      </c>
      <c r="C615">
        <v>2</v>
      </c>
    </row>
    <row r="616" spans="1:3" x14ac:dyDescent="0.2">
      <c r="A616">
        <v>4.6141228628111186</v>
      </c>
      <c r="B616">
        <v>0</v>
      </c>
      <c r="C616">
        <v>4</v>
      </c>
    </row>
    <row r="617" spans="1:3" x14ac:dyDescent="0.2">
      <c r="A617">
        <v>4.8677667791754553</v>
      </c>
      <c r="B617">
        <v>0</v>
      </c>
      <c r="C617">
        <v>6</v>
      </c>
    </row>
    <row r="618" spans="1:3" x14ac:dyDescent="0.2">
      <c r="A618">
        <v>4.7184913411597202</v>
      </c>
      <c r="B618">
        <v>0</v>
      </c>
      <c r="C618">
        <v>8</v>
      </c>
    </row>
    <row r="619" spans="1:3" x14ac:dyDescent="0.2">
      <c r="A619">
        <v>8.6395166248897457</v>
      </c>
      <c r="B619">
        <v>0</v>
      </c>
      <c r="C619">
        <v>6</v>
      </c>
    </row>
    <row r="620" spans="1:3" x14ac:dyDescent="0.2">
      <c r="A620">
        <v>5.203142159455691</v>
      </c>
      <c r="B620">
        <v>6</v>
      </c>
      <c r="C620">
        <v>0</v>
      </c>
    </row>
    <row r="621" spans="1:3" x14ac:dyDescent="0.2">
      <c r="A621">
        <v>4.8931864931317417</v>
      </c>
      <c r="B621">
        <v>0</v>
      </c>
      <c r="C621">
        <v>8</v>
      </c>
    </row>
    <row r="622" spans="1:3" x14ac:dyDescent="0.2">
      <c r="A622">
        <v>3.5937584209760116</v>
      </c>
      <c r="B622">
        <v>0</v>
      </c>
      <c r="C622">
        <v>7</v>
      </c>
    </row>
    <row r="623" spans="1:3" x14ac:dyDescent="0.2">
      <c r="A623">
        <v>3.8513439557877156</v>
      </c>
      <c r="B623">
        <v>0</v>
      </c>
      <c r="C623">
        <v>5</v>
      </c>
    </row>
    <row r="624" spans="1:3" x14ac:dyDescent="0.2">
      <c r="A624">
        <v>8.0434246685683988</v>
      </c>
      <c r="B624">
        <v>0</v>
      </c>
      <c r="C624">
        <v>2</v>
      </c>
    </row>
    <row r="625" spans="1:3" x14ac:dyDescent="0.2">
      <c r="A625">
        <v>7.9104519066412609</v>
      </c>
      <c r="B625">
        <v>9</v>
      </c>
      <c r="C625">
        <v>0</v>
      </c>
    </row>
    <row r="626" spans="1:3" x14ac:dyDescent="0.2">
      <c r="A626">
        <v>7.074190100185616</v>
      </c>
      <c r="B626">
        <v>0</v>
      </c>
      <c r="C626">
        <v>6</v>
      </c>
    </row>
    <row r="627" spans="1:3" x14ac:dyDescent="0.2">
      <c r="A627">
        <v>4.9363972030277523</v>
      </c>
      <c r="B627">
        <v>0</v>
      </c>
      <c r="C627">
        <v>5</v>
      </c>
    </row>
    <row r="628" spans="1:3" x14ac:dyDescent="0.2">
      <c r="A628">
        <v>13.10144806920319</v>
      </c>
      <c r="B628">
        <v>0</v>
      </c>
      <c r="C628">
        <v>1</v>
      </c>
    </row>
    <row r="629" spans="1:3" x14ac:dyDescent="0.2">
      <c r="A629">
        <v>4.0895443886274743</v>
      </c>
      <c r="B629">
        <v>0</v>
      </c>
      <c r="C629">
        <v>9</v>
      </c>
    </row>
    <row r="630" spans="1:3" x14ac:dyDescent="0.2">
      <c r="A630">
        <v>7.6913905033090693</v>
      </c>
      <c r="B630">
        <v>6</v>
      </c>
      <c r="C630">
        <v>0</v>
      </c>
    </row>
    <row r="631" spans="1:3" x14ac:dyDescent="0.2">
      <c r="A631">
        <v>6.5567945271905836</v>
      </c>
      <c r="B631">
        <v>0</v>
      </c>
      <c r="C631">
        <v>4</v>
      </c>
    </row>
    <row r="632" spans="1:3" x14ac:dyDescent="0.2">
      <c r="A632">
        <v>5.4114510972889036</v>
      </c>
      <c r="B632">
        <v>0</v>
      </c>
      <c r="C632">
        <v>5</v>
      </c>
    </row>
    <row r="633" spans="1:3" x14ac:dyDescent="0.2">
      <c r="A633">
        <v>3.9567669687342586</v>
      </c>
      <c r="B633">
        <v>0</v>
      </c>
      <c r="C633">
        <v>9</v>
      </c>
    </row>
    <row r="634" spans="1:3" x14ac:dyDescent="0.2">
      <c r="A634">
        <v>5.243120164024754</v>
      </c>
      <c r="B634">
        <v>0</v>
      </c>
      <c r="C634">
        <v>7</v>
      </c>
    </row>
    <row r="635" spans="1:3" x14ac:dyDescent="0.2">
      <c r="A635">
        <v>7.2641472994857486</v>
      </c>
      <c r="B635">
        <v>0</v>
      </c>
      <c r="C635">
        <v>6</v>
      </c>
    </row>
    <row r="636" spans="1:3" x14ac:dyDescent="0.2">
      <c r="A636">
        <v>6.2036517739035766</v>
      </c>
      <c r="B636">
        <v>0</v>
      </c>
      <c r="C636">
        <v>4</v>
      </c>
    </row>
    <row r="637" spans="1:3" x14ac:dyDescent="0.2">
      <c r="A637">
        <v>5.3417936724365225</v>
      </c>
      <c r="B637">
        <v>0</v>
      </c>
      <c r="C637">
        <v>7</v>
      </c>
    </row>
    <row r="638" spans="1:3" x14ac:dyDescent="0.2">
      <c r="A638">
        <v>6.7819631753847105</v>
      </c>
      <c r="B638">
        <v>0</v>
      </c>
      <c r="C638">
        <v>7</v>
      </c>
    </row>
    <row r="639" spans="1:3" x14ac:dyDescent="0.2">
      <c r="A639">
        <v>5.784173708805544</v>
      </c>
      <c r="B639">
        <v>0</v>
      </c>
      <c r="C639">
        <v>7</v>
      </c>
    </row>
    <row r="640" spans="1:3" x14ac:dyDescent="0.2">
      <c r="A640">
        <v>5.8445625599457864</v>
      </c>
      <c r="B640">
        <v>8</v>
      </c>
      <c r="C640">
        <v>0</v>
      </c>
    </row>
    <row r="641" spans="1:3" x14ac:dyDescent="0.2">
      <c r="A641">
        <v>3.2142168670944606</v>
      </c>
      <c r="B641">
        <v>0</v>
      </c>
      <c r="C641">
        <v>8</v>
      </c>
    </row>
    <row r="642" spans="1:3" x14ac:dyDescent="0.2">
      <c r="A642">
        <v>5.2231104105898982</v>
      </c>
      <c r="B642">
        <v>7</v>
      </c>
      <c r="C642">
        <v>0</v>
      </c>
    </row>
    <row r="643" spans="1:3" x14ac:dyDescent="0.2">
      <c r="A643">
        <v>6.7177249989726873</v>
      </c>
      <c r="B643">
        <v>0</v>
      </c>
      <c r="C643">
        <v>3</v>
      </c>
    </row>
    <row r="644" spans="1:3" x14ac:dyDescent="0.2">
      <c r="A644">
        <v>6.3878280790514843</v>
      </c>
      <c r="B644">
        <v>10</v>
      </c>
      <c r="C644">
        <v>0</v>
      </c>
    </row>
    <row r="645" spans="1:3" x14ac:dyDescent="0.2">
      <c r="A645">
        <v>3.9808697425173012</v>
      </c>
      <c r="B645">
        <v>0</v>
      </c>
      <c r="C645">
        <v>7</v>
      </c>
    </row>
    <row r="646" spans="1:3" x14ac:dyDescent="0.2">
      <c r="A646">
        <v>5.3443285192638825</v>
      </c>
      <c r="B646">
        <v>0</v>
      </c>
      <c r="C646">
        <v>8</v>
      </c>
    </row>
    <row r="647" spans="1:3" x14ac:dyDescent="0.2">
      <c r="A647">
        <v>6.6307844772942319</v>
      </c>
      <c r="B647">
        <v>13</v>
      </c>
      <c r="C647">
        <v>0</v>
      </c>
    </row>
    <row r="648" spans="1:3" x14ac:dyDescent="0.2">
      <c r="A648">
        <v>5.3795080284938983</v>
      </c>
      <c r="B648">
        <v>0</v>
      </c>
      <c r="C648">
        <v>6</v>
      </c>
    </row>
    <row r="649" spans="1:3" x14ac:dyDescent="0.2">
      <c r="A649">
        <v>5.7968028660875319</v>
      </c>
      <c r="B649">
        <v>0</v>
      </c>
      <c r="C649">
        <v>5</v>
      </c>
    </row>
    <row r="650" spans="1:3" x14ac:dyDescent="0.2">
      <c r="A650">
        <v>10.154914710209317</v>
      </c>
      <c r="B650">
        <v>0</v>
      </c>
      <c r="C650">
        <v>2</v>
      </c>
    </row>
    <row r="651" spans="1:3" x14ac:dyDescent="0.2">
      <c r="A651">
        <v>3.4046265965250835</v>
      </c>
      <c r="B651">
        <v>0</v>
      </c>
      <c r="C651">
        <v>7</v>
      </c>
    </row>
    <row r="652" spans="1:3" x14ac:dyDescent="0.2">
      <c r="A652">
        <v>4.8837653922119513</v>
      </c>
      <c r="B652">
        <v>0</v>
      </c>
      <c r="C652">
        <v>6</v>
      </c>
    </row>
    <row r="653" spans="1:3" x14ac:dyDescent="0.2">
      <c r="A653">
        <v>6.3225693049833556</v>
      </c>
      <c r="B653">
        <v>0</v>
      </c>
      <c r="C653">
        <v>6</v>
      </c>
    </row>
    <row r="654" spans="1:3" x14ac:dyDescent="0.2">
      <c r="A654">
        <v>3.4438002360330535</v>
      </c>
      <c r="B654">
        <v>0</v>
      </c>
      <c r="C654">
        <v>8</v>
      </c>
    </row>
    <row r="655" spans="1:3" x14ac:dyDescent="0.2">
      <c r="A655">
        <v>5.4896823043582099</v>
      </c>
      <c r="B655">
        <v>0</v>
      </c>
      <c r="C655">
        <v>8</v>
      </c>
    </row>
    <row r="656" spans="1:3" x14ac:dyDescent="0.2">
      <c r="A656">
        <v>3.1454435420016464</v>
      </c>
      <c r="B656">
        <v>0</v>
      </c>
      <c r="C656">
        <v>8</v>
      </c>
    </row>
    <row r="657" spans="1:3" x14ac:dyDescent="0.2">
      <c r="A657">
        <v>9.7798905526257602</v>
      </c>
      <c r="B657">
        <v>0</v>
      </c>
      <c r="C657">
        <v>3</v>
      </c>
    </row>
    <row r="658" spans="1:3" x14ac:dyDescent="0.2">
      <c r="A658">
        <v>6.6493665510199191</v>
      </c>
      <c r="B658">
        <v>0</v>
      </c>
      <c r="C658">
        <v>5</v>
      </c>
    </row>
    <row r="659" spans="1:3" x14ac:dyDescent="0.2">
      <c r="A659">
        <v>4.3179756103878137</v>
      </c>
      <c r="B659">
        <v>0</v>
      </c>
      <c r="C659">
        <v>9</v>
      </c>
    </row>
    <row r="660" spans="1:3" x14ac:dyDescent="0.2">
      <c r="A660">
        <v>6.2296080849546698</v>
      </c>
      <c r="B660">
        <v>10</v>
      </c>
      <c r="C660">
        <v>0</v>
      </c>
    </row>
    <row r="661" spans="1:3" x14ac:dyDescent="0.2">
      <c r="A661">
        <v>8.6086242920912017</v>
      </c>
      <c r="B661">
        <v>0</v>
      </c>
      <c r="C661">
        <v>3</v>
      </c>
    </row>
    <row r="662" spans="1:3" x14ac:dyDescent="0.2">
      <c r="A662">
        <v>8.7883750330865738</v>
      </c>
      <c r="B662">
        <v>0</v>
      </c>
      <c r="C662">
        <v>5</v>
      </c>
    </row>
    <row r="663" spans="1:3" x14ac:dyDescent="0.2">
      <c r="A663">
        <v>7.1578447221228663</v>
      </c>
      <c r="B663">
        <v>0</v>
      </c>
      <c r="C663">
        <v>3</v>
      </c>
    </row>
    <row r="664" spans="1:3" x14ac:dyDescent="0.2">
      <c r="A664">
        <v>5.73771926432791</v>
      </c>
      <c r="B664">
        <v>0</v>
      </c>
      <c r="C664">
        <v>6</v>
      </c>
    </row>
    <row r="665" spans="1:3" x14ac:dyDescent="0.2">
      <c r="A665">
        <v>3.7336243969201908</v>
      </c>
      <c r="B665">
        <v>0</v>
      </c>
      <c r="C665">
        <v>7</v>
      </c>
    </row>
    <row r="666" spans="1:3" x14ac:dyDescent="0.2">
      <c r="A666">
        <v>5.3080052088273471</v>
      </c>
      <c r="B666">
        <v>0</v>
      </c>
      <c r="C666">
        <v>7</v>
      </c>
    </row>
    <row r="667" spans="1:3" x14ac:dyDescent="0.2">
      <c r="A667">
        <v>3.1190224468629291</v>
      </c>
      <c r="B667">
        <v>0</v>
      </c>
      <c r="C667">
        <v>10</v>
      </c>
    </row>
    <row r="668" spans="1:3" x14ac:dyDescent="0.2">
      <c r="A668">
        <v>5.6103651441772113</v>
      </c>
      <c r="B668">
        <v>0</v>
      </c>
      <c r="C668">
        <v>4</v>
      </c>
    </row>
    <row r="669" spans="1:3" x14ac:dyDescent="0.2">
      <c r="A669">
        <v>5.4688663094437624</v>
      </c>
      <c r="B669">
        <v>0</v>
      </c>
      <c r="C669">
        <v>7</v>
      </c>
    </row>
    <row r="670" spans="1:3" x14ac:dyDescent="0.2">
      <c r="A670">
        <v>2.9839284164106381</v>
      </c>
      <c r="B670">
        <v>0</v>
      </c>
      <c r="C670">
        <v>9</v>
      </c>
    </row>
    <row r="671" spans="1:3" x14ac:dyDescent="0.2">
      <c r="A671">
        <v>6.0827029753200623</v>
      </c>
      <c r="B671">
        <v>8</v>
      </c>
      <c r="C671">
        <v>0</v>
      </c>
    </row>
    <row r="672" spans="1:3" x14ac:dyDescent="0.2">
      <c r="A672">
        <v>8.6653129847459311</v>
      </c>
      <c r="B672">
        <v>0</v>
      </c>
      <c r="C672">
        <v>1</v>
      </c>
    </row>
    <row r="673" spans="1:3" x14ac:dyDescent="0.2">
      <c r="A673">
        <v>6.3623493486530984</v>
      </c>
      <c r="B673">
        <v>0</v>
      </c>
      <c r="C673">
        <v>3</v>
      </c>
    </row>
    <row r="674" spans="1:3" x14ac:dyDescent="0.2">
      <c r="A674">
        <v>4.1335132797617167</v>
      </c>
      <c r="B674">
        <v>0</v>
      </c>
      <c r="C674">
        <v>8</v>
      </c>
    </row>
    <row r="675" spans="1:3" x14ac:dyDescent="0.2">
      <c r="A675">
        <v>6.1627646911047567</v>
      </c>
      <c r="B675">
        <v>9</v>
      </c>
      <c r="C675">
        <v>0</v>
      </c>
    </row>
    <row r="676" spans="1:3" x14ac:dyDescent="0.2">
      <c r="A676">
        <v>5.4048257009056684</v>
      </c>
      <c r="B676">
        <v>0</v>
      </c>
      <c r="C676">
        <v>9</v>
      </c>
    </row>
    <row r="677" spans="1:3" x14ac:dyDescent="0.2">
      <c r="A677">
        <v>4.1811910109835155</v>
      </c>
      <c r="B677">
        <v>0</v>
      </c>
      <c r="C677">
        <v>8</v>
      </c>
    </row>
    <row r="678" spans="1:3" x14ac:dyDescent="0.2">
      <c r="A678">
        <v>5.8114693693209531</v>
      </c>
      <c r="B678">
        <v>0</v>
      </c>
      <c r="C678">
        <v>6</v>
      </c>
    </row>
    <row r="679" spans="1:3" x14ac:dyDescent="0.2">
      <c r="A679">
        <v>4.5453025029924765</v>
      </c>
      <c r="B679">
        <v>0</v>
      </c>
      <c r="C679">
        <v>6</v>
      </c>
    </row>
    <row r="680" spans="1:3" x14ac:dyDescent="0.2">
      <c r="A680">
        <v>3.1160792041689556</v>
      </c>
      <c r="B680">
        <v>0</v>
      </c>
      <c r="C680">
        <v>10</v>
      </c>
    </row>
    <row r="681" spans="1:3" x14ac:dyDescent="0.2">
      <c r="A681">
        <v>11.68142560710046</v>
      </c>
      <c r="B681">
        <v>0</v>
      </c>
      <c r="C681">
        <v>2</v>
      </c>
    </row>
    <row r="682" spans="1:3" x14ac:dyDescent="0.2">
      <c r="A682">
        <v>4.8889626565421525</v>
      </c>
      <c r="B682">
        <v>13</v>
      </c>
      <c r="C682">
        <v>0</v>
      </c>
    </row>
    <row r="683" spans="1:3" x14ac:dyDescent="0.2">
      <c r="A683">
        <v>16.014754294375525</v>
      </c>
      <c r="B683">
        <v>0</v>
      </c>
      <c r="C683">
        <v>1</v>
      </c>
    </row>
    <row r="684" spans="1:3" x14ac:dyDescent="0.2">
      <c r="A684">
        <v>4.1871144247620684</v>
      </c>
      <c r="B684">
        <v>0</v>
      </c>
      <c r="C684">
        <v>8</v>
      </c>
    </row>
    <row r="685" spans="1:3" x14ac:dyDescent="0.2">
      <c r="A685">
        <v>2.3956502516414351</v>
      </c>
      <c r="B685">
        <v>0</v>
      </c>
      <c r="C685">
        <v>7</v>
      </c>
    </row>
    <row r="686" spans="1:3" x14ac:dyDescent="0.2">
      <c r="A686">
        <v>5.6925344613449944</v>
      </c>
      <c r="B686">
        <v>0</v>
      </c>
      <c r="C686">
        <v>5</v>
      </c>
    </row>
    <row r="687" spans="1:3" x14ac:dyDescent="0.2">
      <c r="A687">
        <v>6.4667608403456986</v>
      </c>
      <c r="B687">
        <v>0</v>
      </c>
      <c r="C687">
        <v>5</v>
      </c>
    </row>
    <row r="688" spans="1:3" x14ac:dyDescent="0.2">
      <c r="A688">
        <v>10.686541108607075</v>
      </c>
      <c r="B688">
        <v>1</v>
      </c>
      <c r="C688">
        <v>0</v>
      </c>
    </row>
    <row r="689" spans="1:3" x14ac:dyDescent="0.2">
      <c r="A689">
        <v>5.4247970471816087</v>
      </c>
      <c r="B689">
        <v>11</v>
      </c>
      <c r="C689">
        <v>0</v>
      </c>
    </row>
    <row r="690" spans="1:3" x14ac:dyDescent="0.2">
      <c r="A690">
        <v>11.603279255316453</v>
      </c>
      <c r="B690">
        <v>0</v>
      </c>
      <c r="C690">
        <v>2</v>
      </c>
    </row>
    <row r="691" spans="1:3" x14ac:dyDescent="0.2">
      <c r="A691">
        <v>4.5508113187417756</v>
      </c>
      <c r="B691">
        <v>0</v>
      </c>
      <c r="C691">
        <v>9</v>
      </c>
    </row>
    <row r="692" spans="1:3" x14ac:dyDescent="0.2">
      <c r="A692">
        <v>3.7025532985469134</v>
      </c>
      <c r="B692">
        <v>14</v>
      </c>
      <c r="C692">
        <v>0</v>
      </c>
    </row>
    <row r="693" spans="1:3" x14ac:dyDescent="0.2">
      <c r="A693">
        <v>8.2036114195590883</v>
      </c>
      <c r="B693">
        <v>0</v>
      </c>
      <c r="C693">
        <v>2</v>
      </c>
    </row>
    <row r="694" spans="1:3" x14ac:dyDescent="0.2">
      <c r="A694">
        <v>4.2439792865495702</v>
      </c>
      <c r="B694">
        <v>0</v>
      </c>
      <c r="C694">
        <v>10</v>
      </c>
    </row>
    <row r="695" spans="1:3" x14ac:dyDescent="0.2">
      <c r="A695">
        <v>4.1509743891249364</v>
      </c>
      <c r="B695">
        <v>0</v>
      </c>
      <c r="C695">
        <v>10</v>
      </c>
    </row>
    <row r="696" spans="1:3" x14ac:dyDescent="0.2">
      <c r="A696">
        <v>9.4754078813834539</v>
      </c>
      <c r="B696">
        <v>5</v>
      </c>
      <c r="C696">
        <v>0</v>
      </c>
    </row>
    <row r="697" spans="1:3" x14ac:dyDescent="0.2">
      <c r="A697">
        <v>7.1274227863138799</v>
      </c>
      <c r="B697">
        <v>0</v>
      </c>
      <c r="C697">
        <v>4</v>
      </c>
    </row>
    <row r="698" spans="1:3" x14ac:dyDescent="0.2">
      <c r="A698">
        <v>4.9800181362004237</v>
      </c>
      <c r="B698">
        <v>0</v>
      </c>
      <c r="C698">
        <v>6</v>
      </c>
    </row>
    <row r="699" spans="1:3" x14ac:dyDescent="0.2">
      <c r="A699">
        <v>3.896584485863178</v>
      </c>
      <c r="B699">
        <v>0</v>
      </c>
      <c r="C699">
        <v>4</v>
      </c>
    </row>
    <row r="700" spans="1:3" x14ac:dyDescent="0.2">
      <c r="A700">
        <v>8.2616832306921957</v>
      </c>
      <c r="B700">
        <v>0</v>
      </c>
      <c r="C700">
        <v>1</v>
      </c>
    </row>
    <row r="701" spans="1:3" x14ac:dyDescent="0.2">
      <c r="A701">
        <v>4.9152493544679414</v>
      </c>
      <c r="B701">
        <v>0</v>
      </c>
      <c r="C701">
        <v>6</v>
      </c>
    </row>
    <row r="702" spans="1:3" x14ac:dyDescent="0.2">
      <c r="A702">
        <v>3.6673430651211967</v>
      </c>
      <c r="B702">
        <v>7</v>
      </c>
      <c r="C702">
        <v>0</v>
      </c>
    </row>
    <row r="703" spans="1:3" x14ac:dyDescent="0.2">
      <c r="A703">
        <v>3.7013728483281687</v>
      </c>
      <c r="B703">
        <v>0</v>
      </c>
      <c r="C703">
        <v>8</v>
      </c>
    </row>
    <row r="704" spans="1:3" x14ac:dyDescent="0.2">
      <c r="A704">
        <v>4.681572577273081</v>
      </c>
      <c r="B704">
        <v>0</v>
      </c>
      <c r="C704">
        <v>6</v>
      </c>
    </row>
    <row r="705" spans="1:3" x14ac:dyDescent="0.2">
      <c r="A705">
        <v>7.6254799371863342</v>
      </c>
      <c r="B705">
        <v>6</v>
      </c>
      <c r="C705">
        <v>0</v>
      </c>
    </row>
    <row r="706" spans="1:3" x14ac:dyDescent="0.2">
      <c r="A706">
        <v>7.6063896118974874</v>
      </c>
      <c r="B706">
        <v>0</v>
      </c>
      <c r="C706">
        <v>2</v>
      </c>
    </row>
    <row r="707" spans="1:3" x14ac:dyDescent="0.2">
      <c r="A707">
        <v>4.2557936945553445</v>
      </c>
      <c r="B707">
        <v>0</v>
      </c>
      <c r="C707">
        <v>9</v>
      </c>
    </row>
    <row r="708" spans="1:3" x14ac:dyDescent="0.2">
      <c r="A708">
        <v>7.0088875253352914</v>
      </c>
      <c r="B708">
        <v>0</v>
      </c>
      <c r="C708">
        <v>5</v>
      </c>
    </row>
    <row r="709" spans="1:3" x14ac:dyDescent="0.2">
      <c r="A709">
        <v>5.0447288829352743</v>
      </c>
      <c r="B709">
        <v>0</v>
      </c>
      <c r="C709">
        <v>7</v>
      </c>
    </row>
    <row r="710" spans="1:3" x14ac:dyDescent="0.2">
      <c r="A710">
        <v>5.983915823847533</v>
      </c>
      <c r="B710">
        <v>0</v>
      </c>
      <c r="C710">
        <v>3</v>
      </c>
    </row>
    <row r="711" spans="1:3" x14ac:dyDescent="0.2">
      <c r="A711">
        <v>5.8171856590606899</v>
      </c>
      <c r="B711">
        <v>4</v>
      </c>
      <c r="C711">
        <v>0</v>
      </c>
    </row>
    <row r="712" spans="1:3" x14ac:dyDescent="0.2">
      <c r="A712">
        <v>5.9998779586820223</v>
      </c>
      <c r="B712">
        <v>0</v>
      </c>
      <c r="C712">
        <v>5</v>
      </c>
    </row>
    <row r="713" spans="1:3" x14ac:dyDescent="0.2">
      <c r="A713">
        <v>5.9313587919675701</v>
      </c>
      <c r="B713">
        <v>0</v>
      </c>
      <c r="C713">
        <v>3</v>
      </c>
    </row>
    <row r="714" spans="1:3" x14ac:dyDescent="0.2">
      <c r="A714">
        <v>4.3140802549939004</v>
      </c>
      <c r="B714">
        <v>0</v>
      </c>
      <c r="C714">
        <v>7</v>
      </c>
    </row>
    <row r="715" spans="1:3" x14ac:dyDescent="0.2">
      <c r="A715">
        <v>6.406270949603396</v>
      </c>
      <c r="B715">
        <v>0</v>
      </c>
      <c r="C715">
        <v>4</v>
      </c>
    </row>
    <row r="716" spans="1:3" x14ac:dyDescent="0.2">
      <c r="A716">
        <v>4.1975278312341748</v>
      </c>
      <c r="B716">
        <v>0</v>
      </c>
      <c r="C716">
        <v>8</v>
      </c>
    </row>
    <row r="717" spans="1:3" x14ac:dyDescent="0.2">
      <c r="A717">
        <v>13.338781411441536</v>
      </c>
      <c r="B717">
        <v>4</v>
      </c>
      <c r="C717">
        <v>0</v>
      </c>
    </row>
    <row r="718" spans="1:3" x14ac:dyDescent="0.2">
      <c r="A718">
        <v>6.3694844160439397</v>
      </c>
      <c r="B718">
        <v>0</v>
      </c>
      <c r="C718">
        <v>5</v>
      </c>
    </row>
    <row r="719" spans="1:3" x14ac:dyDescent="0.2">
      <c r="A719">
        <v>3.6065037875085122</v>
      </c>
      <c r="B719">
        <v>0</v>
      </c>
      <c r="C719">
        <v>8</v>
      </c>
    </row>
    <row r="720" spans="1:3" x14ac:dyDescent="0.2">
      <c r="A720">
        <v>10.006628507135842</v>
      </c>
      <c r="B720">
        <v>0</v>
      </c>
      <c r="C720">
        <v>1</v>
      </c>
    </row>
    <row r="721" spans="1:3" x14ac:dyDescent="0.2">
      <c r="A721">
        <v>8.7869002942352843</v>
      </c>
      <c r="B721">
        <v>0</v>
      </c>
      <c r="C721">
        <v>4</v>
      </c>
    </row>
    <row r="722" spans="1:3" x14ac:dyDescent="0.2">
      <c r="A722">
        <v>5.4653466953832393</v>
      </c>
      <c r="B722">
        <v>0</v>
      </c>
      <c r="C722">
        <v>6</v>
      </c>
    </row>
    <row r="723" spans="1:3" x14ac:dyDescent="0.2">
      <c r="A723">
        <v>6.4491962404439001</v>
      </c>
      <c r="B723">
        <v>0</v>
      </c>
      <c r="C723">
        <v>5</v>
      </c>
    </row>
    <row r="724" spans="1:3" x14ac:dyDescent="0.2">
      <c r="A724">
        <v>3.3896621659390771</v>
      </c>
      <c r="B724">
        <v>0</v>
      </c>
      <c r="C724">
        <v>8</v>
      </c>
    </row>
    <row r="725" spans="1:3" x14ac:dyDescent="0.2">
      <c r="A725">
        <v>7.9416254447476815</v>
      </c>
      <c r="B725">
        <v>0</v>
      </c>
      <c r="C725">
        <v>3</v>
      </c>
    </row>
    <row r="726" spans="1:3" x14ac:dyDescent="0.2">
      <c r="A726">
        <v>2.9023283031090386</v>
      </c>
      <c r="B726">
        <v>17</v>
      </c>
      <c r="C726">
        <v>0</v>
      </c>
    </row>
    <row r="727" spans="1:3" x14ac:dyDescent="0.2">
      <c r="A727">
        <v>11.720902285423376</v>
      </c>
      <c r="B727">
        <v>0</v>
      </c>
      <c r="C727">
        <v>3</v>
      </c>
    </row>
    <row r="728" spans="1:3" x14ac:dyDescent="0.2">
      <c r="A728">
        <v>6.6425601136912258</v>
      </c>
      <c r="B728">
        <v>5</v>
      </c>
      <c r="C728">
        <v>0</v>
      </c>
    </row>
    <row r="729" spans="1:3" x14ac:dyDescent="0.2">
      <c r="A729">
        <v>11.822770507114166</v>
      </c>
      <c r="B729">
        <v>0</v>
      </c>
      <c r="C729">
        <v>1</v>
      </c>
    </row>
    <row r="730" spans="1:3" x14ac:dyDescent="0.2">
      <c r="A730">
        <v>7.6879378911898577</v>
      </c>
      <c r="B730">
        <v>8</v>
      </c>
      <c r="C730">
        <v>0</v>
      </c>
    </row>
    <row r="731" spans="1:3" x14ac:dyDescent="0.2">
      <c r="A731">
        <v>3.9321577499894786</v>
      </c>
      <c r="B731">
        <v>14</v>
      </c>
      <c r="C731">
        <v>0</v>
      </c>
    </row>
    <row r="732" spans="1:3" x14ac:dyDescent="0.2">
      <c r="A732">
        <v>10.949175949112218</v>
      </c>
      <c r="B732">
        <v>4</v>
      </c>
      <c r="C732">
        <v>0</v>
      </c>
    </row>
    <row r="733" spans="1:3" x14ac:dyDescent="0.2">
      <c r="A733">
        <v>5.7896544924176885</v>
      </c>
      <c r="B733">
        <v>0</v>
      </c>
      <c r="C733">
        <v>4</v>
      </c>
    </row>
    <row r="734" spans="1:3" x14ac:dyDescent="0.2">
      <c r="A734">
        <v>7.4048434702236188</v>
      </c>
      <c r="B734">
        <v>6</v>
      </c>
      <c r="C734">
        <v>0</v>
      </c>
    </row>
    <row r="735" spans="1:3" x14ac:dyDescent="0.2">
      <c r="A735">
        <v>5.6905707562540151</v>
      </c>
      <c r="B735">
        <v>0</v>
      </c>
      <c r="C735">
        <v>3</v>
      </c>
    </row>
    <row r="736" spans="1:3" x14ac:dyDescent="0.2">
      <c r="A736">
        <v>5.2404673358382068</v>
      </c>
      <c r="B736">
        <v>11</v>
      </c>
      <c r="C736">
        <v>0</v>
      </c>
    </row>
    <row r="737" spans="1:3" x14ac:dyDescent="0.2">
      <c r="A737">
        <v>6.0635550741047792</v>
      </c>
      <c r="B737">
        <v>0</v>
      </c>
      <c r="C737">
        <v>4</v>
      </c>
    </row>
    <row r="738" spans="1:3" x14ac:dyDescent="0.2">
      <c r="A738">
        <v>5.1183888755475175</v>
      </c>
      <c r="B738">
        <v>0</v>
      </c>
      <c r="C738">
        <v>6</v>
      </c>
    </row>
    <row r="739" spans="1:3" x14ac:dyDescent="0.2">
      <c r="A739">
        <v>2.8085817638196651</v>
      </c>
      <c r="B739">
        <v>0</v>
      </c>
      <c r="C739">
        <v>10</v>
      </c>
    </row>
    <row r="740" spans="1:3" x14ac:dyDescent="0.2">
      <c r="A740">
        <v>9.8014733910195861</v>
      </c>
      <c r="B740">
        <v>0</v>
      </c>
      <c r="C740">
        <v>4</v>
      </c>
    </row>
    <row r="741" spans="1:3" x14ac:dyDescent="0.2">
      <c r="A741">
        <v>3.8015879851233012</v>
      </c>
      <c r="B741">
        <v>0</v>
      </c>
      <c r="C741">
        <v>8</v>
      </c>
    </row>
    <row r="742" spans="1:3" x14ac:dyDescent="0.2">
      <c r="A742">
        <v>7.8786417315924409</v>
      </c>
      <c r="B742">
        <v>0</v>
      </c>
      <c r="C742">
        <v>2</v>
      </c>
    </row>
    <row r="743" spans="1:3" x14ac:dyDescent="0.2">
      <c r="A743">
        <v>6.3350145746012219</v>
      </c>
      <c r="B743">
        <v>0</v>
      </c>
      <c r="C743">
        <v>6</v>
      </c>
    </row>
    <row r="744" spans="1:3" x14ac:dyDescent="0.2">
      <c r="A744">
        <v>8.4845914438690571</v>
      </c>
      <c r="B744">
        <v>0</v>
      </c>
      <c r="C744">
        <v>3</v>
      </c>
    </row>
    <row r="745" spans="1:3" x14ac:dyDescent="0.2">
      <c r="A745">
        <v>6.6587898368474718</v>
      </c>
      <c r="B745">
        <v>0</v>
      </c>
      <c r="C745">
        <v>5</v>
      </c>
    </row>
    <row r="746" spans="1:3" x14ac:dyDescent="0.2">
      <c r="A746">
        <v>4.5926369113625878</v>
      </c>
      <c r="B746">
        <v>0</v>
      </c>
      <c r="C746">
        <v>7</v>
      </c>
    </row>
    <row r="747" spans="1:3" x14ac:dyDescent="0.2">
      <c r="A747">
        <v>4.4379566044120384</v>
      </c>
      <c r="B747">
        <v>0</v>
      </c>
      <c r="C747">
        <v>8</v>
      </c>
    </row>
    <row r="748" spans="1:3" x14ac:dyDescent="0.2">
      <c r="A748">
        <v>6.781354330110668</v>
      </c>
      <c r="B748">
        <v>0</v>
      </c>
      <c r="C748">
        <v>5</v>
      </c>
    </row>
    <row r="749" spans="1:3" x14ac:dyDescent="0.2">
      <c r="A749">
        <v>4.2678045845690642</v>
      </c>
      <c r="B749">
        <v>0</v>
      </c>
      <c r="C749">
        <v>8</v>
      </c>
    </row>
    <row r="750" spans="1:3" x14ac:dyDescent="0.2">
      <c r="A750">
        <v>8.2136747390257003</v>
      </c>
      <c r="B750">
        <v>0</v>
      </c>
      <c r="C750">
        <v>3</v>
      </c>
    </row>
    <row r="751" spans="1:3" x14ac:dyDescent="0.2">
      <c r="A751">
        <v>6.6942673160165391</v>
      </c>
      <c r="B751">
        <v>0</v>
      </c>
      <c r="C751">
        <v>5</v>
      </c>
    </row>
    <row r="752" spans="1:3" x14ac:dyDescent="0.2">
      <c r="A752">
        <v>2.653205818334968</v>
      </c>
      <c r="B752">
        <v>0</v>
      </c>
      <c r="C752">
        <v>10</v>
      </c>
    </row>
    <row r="753" spans="1:3" x14ac:dyDescent="0.2">
      <c r="A753">
        <v>2.5600132986602508</v>
      </c>
      <c r="B753">
        <v>0</v>
      </c>
      <c r="C753">
        <v>7</v>
      </c>
    </row>
    <row r="754" spans="1:3" x14ac:dyDescent="0.2">
      <c r="A754">
        <v>5.2547054950398344</v>
      </c>
      <c r="B754">
        <v>0</v>
      </c>
      <c r="C754">
        <v>5</v>
      </c>
    </row>
    <row r="755" spans="1:3" x14ac:dyDescent="0.2">
      <c r="A755">
        <v>3.3566790695856921</v>
      </c>
      <c r="B755">
        <v>15</v>
      </c>
      <c r="C755">
        <v>0</v>
      </c>
    </row>
    <row r="756" spans="1:3" x14ac:dyDescent="0.2">
      <c r="A756">
        <v>3.7183762458762413</v>
      </c>
      <c r="B756">
        <v>12</v>
      </c>
      <c r="C756">
        <v>0</v>
      </c>
    </row>
    <row r="757" spans="1:3" x14ac:dyDescent="0.2">
      <c r="A757">
        <v>5.5873788679405898</v>
      </c>
      <c r="B757">
        <v>0</v>
      </c>
      <c r="C757">
        <v>4</v>
      </c>
    </row>
    <row r="758" spans="1:3" x14ac:dyDescent="0.2">
      <c r="A758">
        <v>2.7872034663413601</v>
      </c>
      <c r="B758">
        <v>0</v>
      </c>
      <c r="C758">
        <v>8</v>
      </c>
    </row>
    <row r="759" spans="1:3" x14ac:dyDescent="0.2">
      <c r="A759">
        <v>3.8134598669724604</v>
      </c>
      <c r="B759">
        <v>0</v>
      </c>
      <c r="C759">
        <v>8</v>
      </c>
    </row>
    <row r="760" spans="1:3" x14ac:dyDescent="0.2">
      <c r="A760">
        <v>4.6097006234355362</v>
      </c>
      <c r="B760">
        <v>0</v>
      </c>
      <c r="C760">
        <v>8</v>
      </c>
    </row>
    <row r="761" spans="1:3" x14ac:dyDescent="0.2">
      <c r="A761">
        <v>4.232314064162602</v>
      </c>
      <c r="B761">
        <v>0</v>
      </c>
      <c r="C761">
        <v>5</v>
      </c>
    </row>
    <row r="762" spans="1:3" x14ac:dyDescent="0.2">
      <c r="A762">
        <v>5.1242300109109724</v>
      </c>
      <c r="B762">
        <v>0</v>
      </c>
      <c r="C762">
        <v>9</v>
      </c>
    </row>
    <row r="763" spans="1:3" x14ac:dyDescent="0.2">
      <c r="A763">
        <v>5.6383441017784603</v>
      </c>
      <c r="B763">
        <v>0</v>
      </c>
      <c r="C763">
        <v>6</v>
      </c>
    </row>
    <row r="764" spans="1:3" x14ac:dyDescent="0.2">
      <c r="A764">
        <v>6.4900677946710088</v>
      </c>
      <c r="B764">
        <v>0</v>
      </c>
      <c r="C764">
        <v>5</v>
      </c>
    </row>
    <row r="765" spans="1:3" x14ac:dyDescent="0.2">
      <c r="A765">
        <v>7.5929223588713155</v>
      </c>
      <c r="B765">
        <v>0</v>
      </c>
      <c r="C765">
        <v>6</v>
      </c>
    </row>
    <row r="766" spans="1:3" x14ac:dyDescent="0.2">
      <c r="A766">
        <v>6.8109011601550984</v>
      </c>
      <c r="B766">
        <v>0</v>
      </c>
      <c r="C766">
        <v>5</v>
      </c>
    </row>
    <row r="767" spans="1:3" x14ac:dyDescent="0.2">
      <c r="A767">
        <v>3.5227401607656574</v>
      </c>
      <c r="B767">
        <v>13</v>
      </c>
      <c r="C767">
        <v>0</v>
      </c>
    </row>
    <row r="768" spans="1:3" x14ac:dyDescent="0.2">
      <c r="A768">
        <v>3.2439338551184997</v>
      </c>
      <c r="B768">
        <v>0</v>
      </c>
      <c r="C768">
        <v>8</v>
      </c>
    </row>
    <row r="769" spans="1:3" x14ac:dyDescent="0.2">
      <c r="A769">
        <v>7.8553548364381811</v>
      </c>
      <c r="B769">
        <v>0</v>
      </c>
      <c r="C769">
        <v>2</v>
      </c>
    </row>
    <row r="770" spans="1:3" x14ac:dyDescent="0.2">
      <c r="A770">
        <v>3.9575850396791639</v>
      </c>
      <c r="B770">
        <v>0</v>
      </c>
      <c r="C770">
        <v>9</v>
      </c>
    </row>
    <row r="771" spans="1:3" x14ac:dyDescent="0.2">
      <c r="A771">
        <v>12.09820000441696</v>
      </c>
      <c r="B771">
        <v>0</v>
      </c>
      <c r="C771">
        <v>1</v>
      </c>
    </row>
    <row r="772" spans="1:3" x14ac:dyDescent="0.2">
      <c r="A772">
        <v>5.2189424438934209</v>
      </c>
      <c r="B772">
        <v>0</v>
      </c>
      <c r="C772">
        <v>6</v>
      </c>
    </row>
    <row r="773" spans="1:3" x14ac:dyDescent="0.2">
      <c r="A773">
        <v>10.596769387818101</v>
      </c>
      <c r="B773">
        <v>0</v>
      </c>
      <c r="C773">
        <v>2</v>
      </c>
    </row>
    <row r="774" spans="1:3" x14ac:dyDescent="0.2">
      <c r="A774">
        <v>7.1526100565467772</v>
      </c>
      <c r="B774">
        <v>0</v>
      </c>
      <c r="C774">
        <v>4</v>
      </c>
    </row>
    <row r="775" spans="1:3" x14ac:dyDescent="0.2">
      <c r="A775">
        <v>5.0560243541073584</v>
      </c>
      <c r="B775">
        <v>0</v>
      </c>
      <c r="C775">
        <v>5</v>
      </c>
    </row>
    <row r="776" spans="1:3" x14ac:dyDescent="0.2">
      <c r="A776">
        <v>4.694291687859292</v>
      </c>
      <c r="B776">
        <v>0</v>
      </c>
      <c r="C776">
        <v>6</v>
      </c>
    </row>
    <row r="777" spans="1:3" x14ac:dyDescent="0.2">
      <c r="A777">
        <v>2.8246995211462913</v>
      </c>
      <c r="B777">
        <v>0</v>
      </c>
      <c r="C777">
        <v>10</v>
      </c>
    </row>
    <row r="778" spans="1:3" x14ac:dyDescent="0.2">
      <c r="A778">
        <v>4.6394492888570928</v>
      </c>
      <c r="B778">
        <v>0</v>
      </c>
      <c r="C778">
        <v>7</v>
      </c>
    </row>
    <row r="779" spans="1:3" x14ac:dyDescent="0.2">
      <c r="A779">
        <v>5.261027291472959</v>
      </c>
      <c r="B779">
        <v>0</v>
      </c>
      <c r="C779">
        <v>5</v>
      </c>
    </row>
    <row r="780" spans="1:3" x14ac:dyDescent="0.2">
      <c r="A780">
        <v>6.6229136738601442</v>
      </c>
      <c r="B780">
        <v>9</v>
      </c>
      <c r="C780">
        <v>0</v>
      </c>
    </row>
    <row r="781" spans="1:3" x14ac:dyDescent="0.2">
      <c r="A781">
        <v>4.3484145261510232</v>
      </c>
      <c r="B781">
        <v>0</v>
      </c>
      <c r="C781">
        <v>9</v>
      </c>
    </row>
    <row r="782" spans="1:3" x14ac:dyDescent="0.2">
      <c r="A782">
        <v>5.9151615392332424</v>
      </c>
      <c r="B782">
        <v>0</v>
      </c>
      <c r="C782">
        <v>5</v>
      </c>
    </row>
    <row r="783" spans="1:3" x14ac:dyDescent="0.2">
      <c r="A783">
        <v>7.3412644341725874</v>
      </c>
      <c r="B783">
        <v>0</v>
      </c>
      <c r="C783">
        <v>3</v>
      </c>
    </row>
    <row r="784" spans="1:3" x14ac:dyDescent="0.2">
      <c r="A784">
        <v>6.0960693566029134</v>
      </c>
      <c r="B784">
        <v>0</v>
      </c>
      <c r="C784">
        <v>7</v>
      </c>
    </row>
    <row r="785" spans="1:3" x14ac:dyDescent="0.2">
      <c r="A785">
        <v>6.1391534701246231</v>
      </c>
      <c r="B785">
        <v>0</v>
      </c>
      <c r="C785">
        <v>4</v>
      </c>
    </row>
    <row r="786" spans="1:3" x14ac:dyDescent="0.2">
      <c r="A786">
        <v>6.1187784494566868</v>
      </c>
      <c r="B786">
        <v>10</v>
      </c>
      <c r="C786">
        <v>0</v>
      </c>
    </row>
    <row r="787" spans="1:3" x14ac:dyDescent="0.2">
      <c r="A787">
        <v>4.1753032595342301</v>
      </c>
      <c r="B787">
        <v>0</v>
      </c>
      <c r="C787">
        <v>6</v>
      </c>
    </row>
    <row r="788" spans="1:3" x14ac:dyDescent="0.2">
      <c r="A788">
        <v>5.9162200965292238</v>
      </c>
      <c r="B788">
        <v>0</v>
      </c>
      <c r="C788">
        <v>5</v>
      </c>
    </row>
    <row r="789" spans="1:3" x14ac:dyDescent="0.2">
      <c r="A789">
        <v>5.0955557025850871</v>
      </c>
      <c r="B789">
        <v>0</v>
      </c>
      <c r="C789">
        <v>7</v>
      </c>
    </row>
    <row r="790" spans="1:3" x14ac:dyDescent="0.2">
      <c r="A790">
        <v>3.7086164457460873</v>
      </c>
      <c r="B790">
        <v>0</v>
      </c>
      <c r="C790">
        <v>8</v>
      </c>
    </row>
    <row r="791" spans="1:3" x14ac:dyDescent="0.2">
      <c r="A791">
        <v>4.2719504451054506</v>
      </c>
      <c r="B791">
        <v>0</v>
      </c>
      <c r="C791">
        <v>8</v>
      </c>
    </row>
    <row r="792" spans="1:3" x14ac:dyDescent="0.2">
      <c r="A792">
        <v>5.2238913839446175</v>
      </c>
      <c r="B792">
        <v>0</v>
      </c>
      <c r="C792">
        <v>7</v>
      </c>
    </row>
    <row r="793" spans="1:3" x14ac:dyDescent="0.2">
      <c r="A793">
        <v>4.2849281397883354</v>
      </c>
      <c r="B793">
        <v>0</v>
      </c>
      <c r="C793">
        <v>9</v>
      </c>
    </row>
    <row r="794" spans="1:3" x14ac:dyDescent="0.2">
      <c r="A794">
        <v>6.4637566824174559</v>
      </c>
      <c r="B794">
        <v>0</v>
      </c>
      <c r="C794">
        <v>2</v>
      </c>
    </row>
    <row r="795" spans="1:3" x14ac:dyDescent="0.2">
      <c r="A795">
        <v>5.7744990963663714</v>
      </c>
      <c r="B795">
        <v>0</v>
      </c>
      <c r="C795">
        <v>9</v>
      </c>
    </row>
    <row r="796" spans="1:3" x14ac:dyDescent="0.2">
      <c r="A796">
        <v>7.2542076798045665</v>
      </c>
      <c r="B796">
        <v>0</v>
      </c>
      <c r="C796">
        <v>6</v>
      </c>
    </row>
    <row r="797" spans="1:3" x14ac:dyDescent="0.2">
      <c r="A797">
        <v>3.8438657551030451</v>
      </c>
      <c r="B797">
        <v>0</v>
      </c>
      <c r="C797">
        <v>7</v>
      </c>
    </row>
    <row r="798" spans="1:3" x14ac:dyDescent="0.2">
      <c r="A798">
        <v>6.9101712115401615</v>
      </c>
      <c r="B798">
        <v>0</v>
      </c>
      <c r="C798">
        <v>6</v>
      </c>
    </row>
    <row r="799" spans="1:3" x14ac:dyDescent="0.2">
      <c r="A799">
        <v>3.7855379962922777</v>
      </c>
      <c r="B799">
        <v>0</v>
      </c>
      <c r="C799">
        <v>8</v>
      </c>
    </row>
    <row r="800" spans="1:3" x14ac:dyDescent="0.2">
      <c r="A800">
        <v>8.149652291684724</v>
      </c>
      <c r="B800">
        <v>5</v>
      </c>
      <c r="C800">
        <v>0</v>
      </c>
    </row>
    <row r="801" spans="1:3" x14ac:dyDescent="0.2">
      <c r="A801">
        <v>9.5509450918580008</v>
      </c>
      <c r="B801">
        <v>6</v>
      </c>
      <c r="C801">
        <v>0</v>
      </c>
    </row>
    <row r="802" spans="1:3" x14ac:dyDescent="0.2">
      <c r="A802">
        <v>6.1229133753127662</v>
      </c>
      <c r="B802">
        <v>0</v>
      </c>
      <c r="C802">
        <v>3</v>
      </c>
    </row>
    <row r="803" spans="1:3" x14ac:dyDescent="0.2">
      <c r="A803">
        <v>3.3689107817096753</v>
      </c>
      <c r="B803">
        <v>0</v>
      </c>
      <c r="C803">
        <v>8</v>
      </c>
    </row>
    <row r="804" spans="1:3" x14ac:dyDescent="0.2">
      <c r="A804">
        <v>7.6593476276749861</v>
      </c>
      <c r="B804">
        <v>8</v>
      </c>
      <c r="C804">
        <v>0</v>
      </c>
    </row>
    <row r="805" spans="1:3" x14ac:dyDescent="0.2">
      <c r="A805">
        <v>3.5607583505635136</v>
      </c>
      <c r="B805">
        <v>0</v>
      </c>
      <c r="C805">
        <v>10</v>
      </c>
    </row>
    <row r="806" spans="1:3" x14ac:dyDescent="0.2">
      <c r="A806">
        <v>7.1544370139347526</v>
      </c>
      <c r="B806">
        <v>7</v>
      </c>
      <c r="C806">
        <v>0</v>
      </c>
    </row>
    <row r="807" spans="1:3" x14ac:dyDescent="0.2">
      <c r="A807">
        <v>7.5560731749990557</v>
      </c>
      <c r="B807">
        <v>0</v>
      </c>
      <c r="C807">
        <v>3</v>
      </c>
    </row>
    <row r="808" spans="1:3" x14ac:dyDescent="0.2">
      <c r="A808">
        <v>3.6811583418821803</v>
      </c>
      <c r="B808">
        <v>0</v>
      </c>
      <c r="C808">
        <v>7</v>
      </c>
    </row>
    <row r="809" spans="1:3" x14ac:dyDescent="0.2">
      <c r="A809">
        <v>4.7106286239814583</v>
      </c>
      <c r="B809">
        <v>0</v>
      </c>
      <c r="C809">
        <v>8</v>
      </c>
    </row>
    <row r="810" spans="1:3" x14ac:dyDescent="0.2">
      <c r="A810">
        <v>7.1747648369957346</v>
      </c>
      <c r="B810">
        <v>0</v>
      </c>
      <c r="C810">
        <v>4</v>
      </c>
    </row>
    <row r="811" spans="1:3" x14ac:dyDescent="0.2">
      <c r="A811">
        <v>4.4567927676370074</v>
      </c>
      <c r="B811">
        <v>12</v>
      </c>
      <c r="C811">
        <v>0</v>
      </c>
    </row>
    <row r="812" spans="1:3" x14ac:dyDescent="0.2">
      <c r="A812">
        <v>4.7526872113254495</v>
      </c>
      <c r="B812">
        <v>0</v>
      </c>
      <c r="C812">
        <v>7</v>
      </c>
    </row>
    <row r="813" spans="1:3" x14ac:dyDescent="0.2">
      <c r="A813">
        <v>5.0412018037822444</v>
      </c>
      <c r="B813">
        <v>0</v>
      </c>
      <c r="C813">
        <v>6</v>
      </c>
    </row>
    <row r="814" spans="1:3" x14ac:dyDescent="0.2">
      <c r="A814">
        <v>4.5533805740780666</v>
      </c>
      <c r="B814">
        <v>0</v>
      </c>
      <c r="C814">
        <v>5</v>
      </c>
    </row>
    <row r="815" spans="1:3" x14ac:dyDescent="0.2">
      <c r="A815">
        <v>7.9654121231226771</v>
      </c>
      <c r="B815">
        <v>10</v>
      </c>
      <c r="C815">
        <v>0</v>
      </c>
    </row>
    <row r="816" spans="1:3" x14ac:dyDescent="0.2">
      <c r="A816">
        <v>4.4394580100239205</v>
      </c>
      <c r="B816">
        <v>0</v>
      </c>
      <c r="C816">
        <v>8</v>
      </c>
    </row>
    <row r="817" spans="1:3" x14ac:dyDescent="0.2">
      <c r="A817">
        <v>3.8305691184194099</v>
      </c>
      <c r="B817">
        <v>14</v>
      </c>
      <c r="C817">
        <v>0</v>
      </c>
    </row>
    <row r="818" spans="1:3" x14ac:dyDescent="0.2">
      <c r="A818">
        <v>4.0527784903972721</v>
      </c>
      <c r="B818">
        <v>0</v>
      </c>
      <c r="C818">
        <v>9</v>
      </c>
    </row>
    <row r="819" spans="1:3" x14ac:dyDescent="0.2">
      <c r="A819">
        <v>3.69397208670931</v>
      </c>
      <c r="B819">
        <v>0</v>
      </c>
      <c r="C819">
        <v>10</v>
      </c>
    </row>
    <row r="820" spans="1:3" x14ac:dyDescent="0.2">
      <c r="A820">
        <v>5.6026029503586292</v>
      </c>
      <c r="B820">
        <v>0</v>
      </c>
      <c r="C820">
        <v>5</v>
      </c>
    </row>
    <row r="821" spans="1:3" x14ac:dyDescent="0.2">
      <c r="A821">
        <v>5.0308179047580213</v>
      </c>
      <c r="B821">
        <v>0</v>
      </c>
      <c r="C821">
        <v>6</v>
      </c>
    </row>
    <row r="822" spans="1:3" x14ac:dyDescent="0.2">
      <c r="A822">
        <v>4.6859422365663868</v>
      </c>
      <c r="B822">
        <v>0</v>
      </c>
      <c r="C822">
        <v>8</v>
      </c>
    </row>
    <row r="823" spans="1:3" x14ac:dyDescent="0.2">
      <c r="A823">
        <v>4.9864481774938287</v>
      </c>
      <c r="B823">
        <v>0</v>
      </c>
      <c r="C823">
        <v>5</v>
      </c>
    </row>
    <row r="824" spans="1:3" x14ac:dyDescent="0.2">
      <c r="A824">
        <v>7.7016952375449783</v>
      </c>
      <c r="B824">
        <v>0</v>
      </c>
      <c r="C824">
        <v>2</v>
      </c>
    </row>
    <row r="825" spans="1:3" x14ac:dyDescent="0.2">
      <c r="A825">
        <v>5.2971564166801244</v>
      </c>
      <c r="B825">
        <v>0</v>
      </c>
      <c r="C825">
        <v>4</v>
      </c>
    </row>
    <row r="826" spans="1:3" x14ac:dyDescent="0.2">
      <c r="A826">
        <v>3.7479266521085801</v>
      </c>
      <c r="B826">
        <v>0</v>
      </c>
      <c r="C826">
        <v>9</v>
      </c>
    </row>
    <row r="827" spans="1:3" x14ac:dyDescent="0.2">
      <c r="A827">
        <v>7.0285148706316694</v>
      </c>
      <c r="B827">
        <v>13</v>
      </c>
      <c r="C827">
        <v>0</v>
      </c>
    </row>
    <row r="828" spans="1:3" x14ac:dyDescent="0.2">
      <c r="A828">
        <v>15.143143839088884</v>
      </c>
      <c r="B828">
        <v>0</v>
      </c>
      <c r="C828">
        <v>1</v>
      </c>
    </row>
    <row r="829" spans="1:3" x14ac:dyDescent="0.2">
      <c r="A829">
        <v>3.0109995786781485</v>
      </c>
      <c r="B829">
        <v>19</v>
      </c>
      <c r="C829">
        <v>0</v>
      </c>
    </row>
    <row r="830" spans="1:3" x14ac:dyDescent="0.2">
      <c r="A830">
        <v>5.9612728276250282</v>
      </c>
      <c r="B830">
        <v>0</v>
      </c>
      <c r="C830">
        <v>4</v>
      </c>
    </row>
    <row r="831" spans="1:3" x14ac:dyDescent="0.2">
      <c r="A831">
        <v>6.101874370532423</v>
      </c>
      <c r="B831">
        <v>0</v>
      </c>
      <c r="C831">
        <v>7</v>
      </c>
    </row>
    <row r="832" spans="1:3" x14ac:dyDescent="0.2">
      <c r="A832">
        <v>4.9211076377718301</v>
      </c>
      <c r="B832">
        <v>0</v>
      </c>
      <c r="C832">
        <v>6</v>
      </c>
    </row>
    <row r="833" spans="1:3" x14ac:dyDescent="0.2">
      <c r="A833">
        <v>2.993262292374026</v>
      </c>
      <c r="B833">
        <v>14</v>
      </c>
      <c r="C833">
        <v>0</v>
      </c>
    </row>
    <row r="834" spans="1:3" x14ac:dyDescent="0.2">
      <c r="A834">
        <v>13.437254773875576</v>
      </c>
      <c r="B834">
        <v>3</v>
      </c>
      <c r="C834">
        <v>0</v>
      </c>
    </row>
    <row r="835" spans="1:3" x14ac:dyDescent="0.2">
      <c r="A835">
        <v>3.2656169078512809</v>
      </c>
      <c r="B835">
        <v>0</v>
      </c>
      <c r="C835">
        <v>7</v>
      </c>
    </row>
    <row r="836" spans="1:3" x14ac:dyDescent="0.2">
      <c r="A836">
        <v>5.2264485426071579</v>
      </c>
      <c r="B836">
        <v>0</v>
      </c>
      <c r="C836">
        <v>9</v>
      </c>
    </row>
    <row r="837" spans="1:3" x14ac:dyDescent="0.2">
      <c r="A837">
        <v>9.196588691953508</v>
      </c>
      <c r="B837">
        <v>9</v>
      </c>
      <c r="C837">
        <v>0</v>
      </c>
    </row>
    <row r="838" spans="1:3" x14ac:dyDescent="0.2">
      <c r="A838">
        <v>4.3446260405391568</v>
      </c>
      <c r="B838">
        <v>12</v>
      </c>
      <c r="C838">
        <v>0</v>
      </c>
    </row>
    <row r="839" spans="1:3" x14ac:dyDescent="0.2">
      <c r="A839">
        <v>4.8600641742459292</v>
      </c>
      <c r="B839">
        <v>0</v>
      </c>
      <c r="C839">
        <v>6</v>
      </c>
    </row>
    <row r="840" spans="1:3" x14ac:dyDescent="0.2">
      <c r="A840">
        <v>3.5651836867594864</v>
      </c>
      <c r="B840">
        <v>0</v>
      </c>
      <c r="C840">
        <v>8</v>
      </c>
    </row>
    <row r="841" spans="1:3" x14ac:dyDescent="0.2">
      <c r="A841">
        <v>5.6147181629930607</v>
      </c>
      <c r="B841">
        <v>0</v>
      </c>
      <c r="C841">
        <v>6</v>
      </c>
    </row>
    <row r="842" spans="1:3" x14ac:dyDescent="0.2">
      <c r="A842">
        <v>5.7218311455577009</v>
      </c>
      <c r="B842">
        <v>0</v>
      </c>
      <c r="C842">
        <v>7</v>
      </c>
    </row>
    <row r="843" spans="1:3" x14ac:dyDescent="0.2">
      <c r="A843">
        <v>7.2102355800339542</v>
      </c>
      <c r="B843">
        <v>4</v>
      </c>
      <c r="C843">
        <v>0</v>
      </c>
    </row>
    <row r="844" spans="1:3" x14ac:dyDescent="0.2">
      <c r="A844">
        <v>4.3673520024530035</v>
      </c>
      <c r="B844">
        <v>12</v>
      </c>
      <c r="C844">
        <v>0</v>
      </c>
    </row>
    <row r="845" spans="1:3" x14ac:dyDescent="0.2">
      <c r="A845">
        <v>3.8816401882580385</v>
      </c>
      <c r="B845">
        <v>0</v>
      </c>
      <c r="C845">
        <v>9</v>
      </c>
    </row>
    <row r="846" spans="1:3" x14ac:dyDescent="0.2">
      <c r="A846">
        <v>6.9367686739808487</v>
      </c>
      <c r="B846">
        <v>5</v>
      </c>
      <c r="C846">
        <v>0</v>
      </c>
    </row>
    <row r="847" spans="1:3" x14ac:dyDescent="0.2">
      <c r="A847">
        <v>8.8671334089906555</v>
      </c>
      <c r="B847">
        <v>5</v>
      </c>
      <c r="C847">
        <v>0</v>
      </c>
    </row>
    <row r="848" spans="1:3" x14ac:dyDescent="0.2">
      <c r="A848">
        <v>6.6251799510213418</v>
      </c>
      <c r="B848">
        <v>0</v>
      </c>
      <c r="C848">
        <v>4</v>
      </c>
    </row>
    <row r="849" spans="1:3" x14ac:dyDescent="0.2">
      <c r="A849">
        <v>3.6561263808285998</v>
      </c>
      <c r="B849">
        <v>0</v>
      </c>
      <c r="C849">
        <v>10</v>
      </c>
    </row>
    <row r="850" spans="1:3" x14ac:dyDescent="0.2">
      <c r="A850">
        <v>15.294885304964792</v>
      </c>
      <c r="B850">
        <v>1</v>
      </c>
      <c r="C850">
        <v>0</v>
      </c>
    </row>
    <row r="851" spans="1:3" x14ac:dyDescent="0.2">
      <c r="A851">
        <v>1.8987725004573162</v>
      </c>
      <c r="B851">
        <v>17</v>
      </c>
      <c r="C851">
        <v>0</v>
      </c>
    </row>
    <row r="852" spans="1:3" x14ac:dyDescent="0.2">
      <c r="A852">
        <v>4.8880393152735344</v>
      </c>
      <c r="B852">
        <v>0</v>
      </c>
      <c r="C852">
        <v>5</v>
      </c>
    </row>
    <row r="853" spans="1:3" x14ac:dyDescent="0.2">
      <c r="A853">
        <v>4.7225254988939218</v>
      </c>
      <c r="B853">
        <v>0</v>
      </c>
      <c r="C853">
        <v>9</v>
      </c>
    </row>
    <row r="854" spans="1:3" x14ac:dyDescent="0.2">
      <c r="A854">
        <v>8.0631186956780372</v>
      </c>
      <c r="B854">
        <v>0</v>
      </c>
      <c r="C854">
        <v>4</v>
      </c>
    </row>
    <row r="855" spans="1:3" x14ac:dyDescent="0.2">
      <c r="A855">
        <v>1.7882680972015199</v>
      </c>
      <c r="B855">
        <v>17</v>
      </c>
      <c r="C855">
        <v>0</v>
      </c>
    </row>
    <row r="856" spans="1:3" x14ac:dyDescent="0.2">
      <c r="A856">
        <v>4.4484607637564579</v>
      </c>
      <c r="B856">
        <v>0</v>
      </c>
      <c r="C856">
        <v>8</v>
      </c>
    </row>
    <row r="857" spans="1:3" x14ac:dyDescent="0.2">
      <c r="A857">
        <v>7.5804841195459813</v>
      </c>
      <c r="B857">
        <v>11</v>
      </c>
      <c r="C857">
        <v>0</v>
      </c>
    </row>
    <row r="858" spans="1:3" x14ac:dyDescent="0.2">
      <c r="A858">
        <v>11.934342867705571</v>
      </c>
      <c r="B858">
        <v>5</v>
      </c>
      <c r="C858">
        <v>0</v>
      </c>
    </row>
    <row r="859" spans="1:3" x14ac:dyDescent="0.2">
      <c r="A859">
        <v>7.2976550151106663</v>
      </c>
      <c r="B859">
        <v>7</v>
      </c>
      <c r="C859">
        <v>0</v>
      </c>
    </row>
    <row r="860" spans="1:3" x14ac:dyDescent="0.2">
      <c r="A860">
        <v>3.8539853214582003</v>
      </c>
      <c r="B860">
        <v>14</v>
      </c>
      <c r="C860">
        <v>0</v>
      </c>
    </row>
    <row r="861" spans="1:3" x14ac:dyDescent="0.2">
      <c r="A861">
        <v>5.3268800835279722</v>
      </c>
      <c r="B861">
        <v>10</v>
      </c>
      <c r="C861">
        <v>0</v>
      </c>
    </row>
    <row r="862" spans="1:3" x14ac:dyDescent="0.2">
      <c r="A862">
        <v>3.1363321667076507</v>
      </c>
      <c r="B862">
        <v>0</v>
      </c>
      <c r="C862">
        <v>8</v>
      </c>
    </row>
    <row r="863" spans="1:3" x14ac:dyDescent="0.2">
      <c r="A863">
        <v>6.157441386642021</v>
      </c>
      <c r="B863">
        <v>0</v>
      </c>
      <c r="C863">
        <v>7</v>
      </c>
    </row>
    <row r="864" spans="1:3" x14ac:dyDescent="0.2">
      <c r="A864">
        <v>3.9707085405699374</v>
      </c>
      <c r="B864">
        <v>0</v>
      </c>
      <c r="C864">
        <v>6</v>
      </c>
    </row>
    <row r="865" spans="1:3" x14ac:dyDescent="0.2">
      <c r="A865">
        <v>5.7658440534973714</v>
      </c>
      <c r="B865">
        <v>0</v>
      </c>
      <c r="C865">
        <v>7</v>
      </c>
    </row>
    <row r="866" spans="1:3" x14ac:dyDescent="0.2">
      <c r="A866">
        <v>6.4262991422299853</v>
      </c>
      <c r="B866">
        <v>7</v>
      </c>
      <c r="C866">
        <v>0</v>
      </c>
    </row>
    <row r="867" spans="1:3" x14ac:dyDescent="0.2">
      <c r="A867">
        <v>3.3817104591659408</v>
      </c>
      <c r="B867">
        <v>0</v>
      </c>
      <c r="C867">
        <v>9</v>
      </c>
    </row>
    <row r="868" spans="1:3" x14ac:dyDescent="0.2">
      <c r="A868">
        <v>6.0188744808491412</v>
      </c>
      <c r="B868">
        <v>0</v>
      </c>
      <c r="C868">
        <v>5</v>
      </c>
    </row>
    <row r="869" spans="1:3" x14ac:dyDescent="0.2">
      <c r="A869">
        <v>4.9351968780708892</v>
      </c>
      <c r="B869">
        <v>0</v>
      </c>
      <c r="C869">
        <v>8</v>
      </c>
    </row>
    <row r="870" spans="1:3" x14ac:dyDescent="0.2">
      <c r="A870">
        <v>6.2909044946006603</v>
      </c>
      <c r="B870">
        <v>0</v>
      </c>
      <c r="C870">
        <v>3</v>
      </c>
    </row>
    <row r="871" spans="1:3" x14ac:dyDescent="0.2">
      <c r="A871">
        <v>9.5782045023954065</v>
      </c>
      <c r="B871">
        <v>0</v>
      </c>
      <c r="C871">
        <v>2</v>
      </c>
    </row>
    <row r="872" spans="1:3" x14ac:dyDescent="0.2">
      <c r="A872">
        <v>7.8053361373737973</v>
      </c>
      <c r="B872">
        <v>3</v>
      </c>
      <c r="C872">
        <v>0</v>
      </c>
    </row>
    <row r="873" spans="1:3" x14ac:dyDescent="0.2">
      <c r="A873">
        <v>8.2071914836865218</v>
      </c>
      <c r="B873">
        <v>2</v>
      </c>
      <c r="C873">
        <v>0</v>
      </c>
    </row>
    <row r="874" spans="1:3" x14ac:dyDescent="0.2">
      <c r="A874">
        <v>4.3570585933082118</v>
      </c>
      <c r="B874">
        <v>0</v>
      </c>
      <c r="C874">
        <v>6</v>
      </c>
    </row>
    <row r="875" spans="1:3" x14ac:dyDescent="0.2">
      <c r="A875">
        <v>7.255409557116117</v>
      </c>
      <c r="B875">
        <v>5</v>
      </c>
      <c r="C875">
        <v>0</v>
      </c>
    </row>
    <row r="876" spans="1:3" x14ac:dyDescent="0.2">
      <c r="A876">
        <v>2.7618945401941239</v>
      </c>
      <c r="B876">
        <v>17</v>
      </c>
      <c r="C876">
        <v>0</v>
      </c>
    </row>
    <row r="877" spans="1:3" x14ac:dyDescent="0.2">
      <c r="A877">
        <v>6.123417886921998</v>
      </c>
      <c r="B877">
        <v>10</v>
      </c>
      <c r="C877">
        <v>0</v>
      </c>
    </row>
    <row r="878" spans="1:3" x14ac:dyDescent="0.2">
      <c r="A878">
        <v>4.5468854046800793</v>
      </c>
      <c r="B878">
        <v>0</v>
      </c>
      <c r="C878">
        <v>6</v>
      </c>
    </row>
    <row r="879" spans="1:3" x14ac:dyDescent="0.2">
      <c r="A879">
        <v>6.168451870177238</v>
      </c>
      <c r="B879">
        <v>0</v>
      </c>
      <c r="C879">
        <v>7</v>
      </c>
    </row>
    <row r="880" spans="1:3" x14ac:dyDescent="0.2">
      <c r="A880">
        <v>4.0964671617955268</v>
      </c>
      <c r="B880">
        <v>0</v>
      </c>
      <c r="C880">
        <v>6</v>
      </c>
    </row>
    <row r="881" spans="1:3" x14ac:dyDescent="0.2">
      <c r="A881">
        <v>4.0594625894003808</v>
      </c>
      <c r="B881">
        <v>0</v>
      </c>
      <c r="C881">
        <v>10</v>
      </c>
    </row>
    <row r="882" spans="1:3" x14ac:dyDescent="0.2">
      <c r="A882">
        <v>5.6848001577341192</v>
      </c>
      <c r="B882">
        <v>6</v>
      </c>
      <c r="C882">
        <v>0</v>
      </c>
    </row>
    <row r="883" spans="1:3" x14ac:dyDescent="0.2">
      <c r="A883">
        <v>6.4901605744842987</v>
      </c>
      <c r="B883">
        <v>0</v>
      </c>
      <c r="C883">
        <v>6</v>
      </c>
    </row>
    <row r="884" spans="1:3" x14ac:dyDescent="0.2">
      <c r="A884">
        <v>5.638821461567308</v>
      </c>
      <c r="B884">
        <v>0</v>
      </c>
      <c r="C884">
        <v>5</v>
      </c>
    </row>
    <row r="885" spans="1:3" x14ac:dyDescent="0.2">
      <c r="A885">
        <v>5.9127968973678842</v>
      </c>
      <c r="B885">
        <v>0</v>
      </c>
      <c r="C885">
        <v>9</v>
      </c>
    </row>
    <row r="886" spans="1:3" x14ac:dyDescent="0.2">
      <c r="A886">
        <v>3.3895962882760426</v>
      </c>
      <c r="B886">
        <v>0</v>
      </c>
      <c r="C886">
        <v>9</v>
      </c>
    </row>
    <row r="887" spans="1:3" x14ac:dyDescent="0.2">
      <c r="A887">
        <v>1.6360990411833782</v>
      </c>
      <c r="B887">
        <v>16</v>
      </c>
      <c r="C887">
        <v>0</v>
      </c>
    </row>
    <row r="888" spans="1:3" x14ac:dyDescent="0.2">
      <c r="A888">
        <v>8.3455435420604918</v>
      </c>
      <c r="B888">
        <v>0</v>
      </c>
      <c r="C888">
        <v>3</v>
      </c>
    </row>
    <row r="889" spans="1:3" x14ac:dyDescent="0.2">
      <c r="A889">
        <v>3.4027414411566235</v>
      </c>
      <c r="B889">
        <v>0</v>
      </c>
      <c r="C889">
        <v>8</v>
      </c>
    </row>
    <row r="890" spans="1:3" x14ac:dyDescent="0.2">
      <c r="A890">
        <v>5.1994809427099096</v>
      </c>
      <c r="B890">
        <v>8</v>
      </c>
      <c r="C890">
        <v>0</v>
      </c>
    </row>
    <row r="891" spans="1:3" x14ac:dyDescent="0.2">
      <c r="A891">
        <v>4.7712594481929305</v>
      </c>
      <c r="B891">
        <v>0</v>
      </c>
      <c r="C891">
        <v>6</v>
      </c>
    </row>
    <row r="892" spans="1:3" x14ac:dyDescent="0.2">
      <c r="A892">
        <v>3.6850256453498118</v>
      </c>
      <c r="B892">
        <v>0</v>
      </c>
      <c r="C892">
        <v>10</v>
      </c>
    </row>
    <row r="893" spans="1:3" x14ac:dyDescent="0.2">
      <c r="A893">
        <v>4.4351796192033035</v>
      </c>
      <c r="B893">
        <v>0</v>
      </c>
      <c r="C893">
        <v>8</v>
      </c>
    </row>
    <row r="894" spans="1:3" x14ac:dyDescent="0.2">
      <c r="A894">
        <v>7.7256777471621998</v>
      </c>
      <c r="B894">
        <v>2</v>
      </c>
      <c r="C894">
        <v>0</v>
      </c>
    </row>
    <row r="895" spans="1:3" x14ac:dyDescent="0.2">
      <c r="A895">
        <v>4.8684430115252111</v>
      </c>
      <c r="B895">
        <v>12</v>
      </c>
      <c r="C895">
        <v>0</v>
      </c>
    </row>
    <row r="896" spans="1:3" x14ac:dyDescent="0.2">
      <c r="A896">
        <v>8.1044669629938237</v>
      </c>
      <c r="B896">
        <v>0</v>
      </c>
      <c r="C896">
        <v>3</v>
      </c>
    </row>
    <row r="897" spans="1:3" x14ac:dyDescent="0.2">
      <c r="A897">
        <v>5.6329495587144693</v>
      </c>
      <c r="B897">
        <v>0</v>
      </c>
      <c r="C897">
        <v>5</v>
      </c>
    </row>
    <row r="898" spans="1:3" x14ac:dyDescent="0.2">
      <c r="A898">
        <v>5.5850773540735741</v>
      </c>
      <c r="B898">
        <v>6</v>
      </c>
      <c r="C898">
        <v>0</v>
      </c>
    </row>
    <row r="899" spans="1:3" x14ac:dyDescent="0.2">
      <c r="A899">
        <v>7.0611376907046317</v>
      </c>
      <c r="B899">
        <v>11</v>
      </c>
      <c r="C899">
        <v>0</v>
      </c>
    </row>
    <row r="900" spans="1:3" x14ac:dyDescent="0.2">
      <c r="A900">
        <v>11.655416729722617</v>
      </c>
      <c r="B900">
        <v>0</v>
      </c>
      <c r="C900">
        <v>3</v>
      </c>
    </row>
    <row r="901" spans="1:3" x14ac:dyDescent="0.2">
      <c r="A901">
        <v>2.6595594644462039</v>
      </c>
      <c r="B901">
        <v>18</v>
      </c>
      <c r="C901">
        <v>0</v>
      </c>
    </row>
    <row r="902" spans="1:3" x14ac:dyDescent="0.2">
      <c r="A902">
        <v>6.5433966098509204</v>
      </c>
      <c r="B902">
        <v>0</v>
      </c>
      <c r="C902">
        <v>4</v>
      </c>
    </row>
    <row r="903" spans="1:3" x14ac:dyDescent="0.2">
      <c r="A903">
        <v>3.4833203639780312</v>
      </c>
      <c r="B903">
        <v>0</v>
      </c>
      <c r="C903">
        <v>8</v>
      </c>
    </row>
    <row r="904" spans="1:3" x14ac:dyDescent="0.2">
      <c r="A904">
        <v>3.3673165839470913</v>
      </c>
      <c r="B904">
        <v>0</v>
      </c>
      <c r="C904">
        <v>10</v>
      </c>
    </row>
    <row r="905" spans="1:3" x14ac:dyDescent="0.2">
      <c r="A905">
        <v>5.3243786259371513</v>
      </c>
      <c r="B905">
        <v>0</v>
      </c>
      <c r="C905">
        <v>5</v>
      </c>
    </row>
    <row r="906" spans="1:3" x14ac:dyDescent="0.2">
      <c r="A906">
        <v>5.7929799870810825</v>
      </c>
      <c r="B906">
        <v>0</v>
      </c>
      <c r="C906">
        <v>4</v>
      </c>
    </row>
    <row r="907" spans="1:3" x14ac:dyDescent="0.2">
      <c r="A907">
        <v>4.6061718810321324</v>
      </c>
      <c r="B907">
        <v>0</v>
      </c>
      <c r="C907">
        <v>7</v>
      </c>
    </row>
    <row r="908" spans="1:3" x14ac:dyDescent="0.2">
      <c r="A908">
        <v>4.8448476503966598</v>
      </c>
      <c r="B908">
        <v>0</v>
      </c>
      <c r="C908">
        <v>5</v>
      </c>
    </row>
    <row r="909" spans="1:3" x14ac:dyDescent="0.2">
      <c r="A909">
        <v>5.2603294441512007</v>
      </c>
      <c r="B909">
        <v>0</v>
      </c>
      <c r="C909">
        <v>7</v>
      </c>
    </row>
    <row r="910" spans="1:3" x14ac:dyDescent="0.2">
      <c r="A910">
        <v>6.4062465489344529</v>
      </c>
      <c r="B910">
        <v>0</v>
      </c>
      <c r="C910">
        <v>3</v>
      </c>
    </row>
    <row r="911" spans="1:3" x14ac:dyDescent="0.2">
      <c r="A911">
        <v>6.4683466565096044</v>
      </c>
      <c r="B911">
        <v>10</v>
      </c>
      <c r="C911">
        <v>0</v>
      </c>
    </row>
    <row r="912" spans="1:3" x14ac:dyDescent="0.2">
      <c r="A912">
        <v>4.3001323616757077</v>
      </c>
      <c r="B912">
        <v>11</v>
      </c>
      <c r="C912">
        <v>0</v>
      </c>
    </row>
    <row r="913" spans="1:3" x14ac:dyDescent="0.2">
      <c r="A913">
        <v>4.6964440205339297</v>
      </c>
      <c r="B913">
        <v>8</v>
      </c>
      <c r="C913">
        <v>0</v>
      </c>
    </row>
    <row r="914" spans="1:3" x14ac:dyDescent="0.2">
      <c r="A914">
        <v>5.1408735027438794</v>
      </c>
      <c r="B914">
        <v>0</v>
      </c>
      <c r="C914">
        <v>5</v>
      </c>
    </row>
    <row r="915" spans="1:3" x14ac:dyDescent="0.2">
      <c r="A915">
        <v>3.3151849055132705</v>
      </c>
      <c r="B915">
        <v>0</v>
      </c>
      <c r="C915">
        <v>8</v>
      </c>
    </row>
    <row r="916" spans="1:3" x14ac:dyDescent="0.2">
      <c r="A916">
        <v>2.3457308408442032</v>
      </c>
      <c r="B916">
        <v>0</v>
      </c>
      <c r="C916">
        <v>10</v>
      </c>
    </row>
    <row r="917" spans="1:3" x14ac:dyDescent="0.2">
      <c r="A917">
        <v>5.4844306727318237</v>
      </c>
      <c r="B917">
        <v>8</v>
      </c>
      <c r="C917">
        <v>0</v>
      </c>
    </row>
    <row r="918" spans="1:3" x14ac:dyDescent="0.2">
      <c r="A918">
        <v>6.4316615273507356</v>
      </c>
      <c r="B918">
        <v>0</v>
      </c>
      <c r="C918">
        <v>8</v>
      </c>
    </row>
    <row r="919" spans="1:3" x14ac:dyDescent="0.2">
      <c r="A919">
        <v>3.7265202513432532</v>
      </c>
      <c r="B919">
        <v>0</v>
      </c>
      <c r="C919">
        <v>9</v>
      </c>
    </row>
    <row r="920" spans="1:3" x14ac:dyDescent="0.2">
      <c r="A920">
        <v>16.538313130159871</v>
      </c>
      <c r="B920">
        <v>1</v>
      </c>
      <c r="C920">
        <v>0</v>
      </c>
    </row>
    <row r="921" spans="1:3" x14ac:dyDescent="0.2">
      <c r="A921">
        <v>6.5767565874730378</v>
      </c>
      <c r="B921">
        <v>0</v>
      </c>
      <c r="C921">
        <v>6</v>
      </c>
    </row>
    <row r="922" spans="1:3" x14ac:dyDescent="0.2">
      <c r="A922">
        <v>4.2852235333337259</v>
      </c>
      <c r="B922">
        <v>0</v>
      </c>
      <c r="C922">
        <v>7</v>
      </c>
    </row>
    <row r="923" spans="1:3" x14ac:dyDescent="0.2">
      <c r="A923">
        <v>3.437021118911094</v>
      </c>
      <c r="B923">
        <v>0</v>
      </c>
      <c r="C923">
        <v>8</v>
      </c>
    </row>
    <row r="924" spans="1:3" x14ac:dyDescent="0.2">
      <c r="A924">
        <v>7.0379925954264957</v>
      </c>
      <c r="B924">
        <v>0</v>
      </c>
      <c r="C924">
        <v>4</v>
      </c>
    </row>
    <row r="925" spans="1:3" x14ac:dyDescent="0.2">
      <c r="A925">
        <v>5.295192363789524</v>
      </c>
      <c r="B925">
        <v>0</v>
      </c>
      <c r="C925">
        <v>6</v>
      </c>
    </row>
    <row r="926" spans="1:3" x14ac:dyDescent="0.2">
      <c r="A926">
        <v>3.9090230280790856</v>
      </c>
      <c r="B926">
        <v>0</v>
      </c>
      <c r="C926">
        <v>9</v>
      </c>
    </row>
    <row r="927" spans="1:3" x14ac:dyDescent="0.2">
      <c r="A927">
        <v>3.7049251755690804</v>
      </c>
      <c r="B927">
        <v>13</v>
      </c>
      <c r="C927">
        <v>0</v>
      </c>
    </row>
    <row r="928" spans="1:3" x14ac:dyDescent="0.2">
      <c r="A928">
        <v>11.155494032840725</v>
      </c>
      <c r="B928">
        <v>0</v>
      </c>
      <c r="C928">
        <v>1</v>
      </c>
    </row>
    <row r="929" spans="1:3" x14ac:dyDescent="0.2">
      <c r="A929">
        <v>5.4381930398677287</v>
      </c>
      <c r="B929">
        <v>11</v>
      </c>
      <c r="C929">
        <v>0</v>
      </c>
    </row>
    <row r="930" spans="1:3" x14ac:dyDescent="0.2">
      <c r="A930">
        <v>5.6091176376295895</v>
      </c>
      <c r="B930">
        <v>0</v>
      </c>
      <c r="C930">
        <v>3</v>
      </c>
    </row>
    <row r="931" spans="1:3" x14ac:dyDescent="0.2">
      <c r="A931">
        <v>4.3858609085424938</v>
      </c>
      <c r="B931">
        <v>0</v>
      </c>
      <c r="C931">
        <v>6</v>
      </c>
    </row>
    <row r="932" spans="1:3" x14ac:dyDescent="0.2">
      <c r="A932">
        <v>13.267251175644965</v>
      </c>
      <c r="B932">
        <v>6</v>
      </c>
      <c r="C932">
        <v>0</v>
      </c>
    </row>
    <row r="933" spans="1:3" x14ac:dyDescent="0.2">
      <c r="A933">
        <v>3.7373334264314897</v>
      </c>
      <c r="B933">
        <v>0</v>
      </c>
      <c r="C933">
        <v>6</v>
      </c>
    </row>
    <row r="934" spans="1:3" x14ac:dyDescent="0.2">
      <c r="A934">
        <v>9.276307335342878</v>
      </c>
      <c r="B934">
        <v>6</v>
      </c>
      <c r="C934">
        <v>0</v>
      </c>
    </row>
    <row r="935" spans="1:3" x14ac:dyDescent="0.2">
      <c r="A935">
        <v>4.6163055475759815</v>
      </c>
      <c r="B935">
        <v>0</v>
      </c>
      <c r="C935">
        <v>7</v>
      </c>
    </row>
    <row r="936" spans="1:3" x14ac:dyDescent="0.2">
      <c r="A936">
        <v>3.4872454190031634</v>
      </c>
      <c r="B936">
        <v>15</v>
      </c>
      <c r="C936">
        <v>0</v>
      </c>
    </row>
    <row r="937" spans="1:3" x14ac:dyDescent="0.2">
      <c r="A937">
        <v>5.1111357623529967</v>
      </c>
      <c r="B937">
        <v>10</v>
      </c>
      <c r="C937">
        <v>0</v>
      </c>
    </row>
    <row r="938" spans="1:3" x14ac:dyDescent="0.2">
      <c r="A938">
        <v>8.5699120880740214</v>
      </c>
      <c r="B938">
        <v>0</v>
      </c>
      <c r="C938">
        <v>2</v>
      </c>
    </row>
    <row r="939" spans="1:3" x14ac:dyDescent="0.2">
      <c r="A939">
        <v>5.9466509486256856</v>
      </c>
      <c r="B939">
        <v>0</v>
      </c>
      <c r="C939">
        <v>6</v>
      </c>
    </row>
    <row r="940" spans="1:3" x14ac:dyDescent="0.2">
      <c r="A940">
        <v>5.8058872132956099</v>
      </c>
      <c r="B940">
        <v>0</v>
      </c>
      <c r="C940">
        <v>6</v>
      </c>
    </row>
    <row r="941" spans="1:3" x14ac:dyDescent="0.2">
      <c r="A941">
        <v>3.6621261647380305</v>
      </c>
      <c r="B941">
        <v>0</v>
      </c>
      <c r="C941">
        <v>6</v>
      </c>
    </row>
    <row r="942" spans="1:3" x14ac:dyDescent="0.2">
      <c r="A942">
        <v>7.5566038487848237</v>
      </c>
      <c r="B942">
        <v>0</v>
      </c>
      <c r="C942">
        <v>5</v>
      </c>
    </row>
    <row r="943" spans="1:3" x14ac:dyDescent="0.2">
      <c r="A943">
        <v>3.9051414494460568</v>
      </c>
      <c r="B943">
        <v>0</v>
      </c>
      <c r="C943">
        <v>9</v>
      </c>
    </row>
    <row r="944" spans="1:3" x14ac:dyDescent="0.2">
      <c r="A944">
        <v>4.3386069886719927</v>
      </c>
      <c r="B944">
        <v>0</v>
      </c>
      <c r="C944">
        <v>7</v>
      </c>
    </row>
    <row r="945" spans="1:3" x14ac:dyDescent="0.2">
      <c r="A945">
        <v>6.7312168428647494</v>
      </c>
      <c r="B945">
        <v>10</v>
      </c>
      <c r="C945">
        <v>0</v>
      </c>
    </row>
    <row r="946" spans="1:3" x14ac:dyDescent="0.2">
      <c r="A946">
        <v>6.3793392809720899</v>
      </c>
      <c r="B946">
        <v>0</v>
      </c>
      <c r="C946">
        <v>6</v>
      </c>
    </row>
    <row r="947" spans="1:3" x14ac:dyDescent="0.2">
      <c r="A947">
        <v>4.5981596257614248</v>
      </c>
      <c r="B947">
        <v>10</v>
      </c>
      <c r="C947">
        <v>0</v>
      </c>
    </row>
    <row r="948" spans="1:3" x14ac:dyDescent="0.2">
      <c r="A948">
        <v>5.1550422669413614</v>
      </c>
      <c r="B948">
        <v>0</v>
      </c>
      <c r="C948">
        <v>6</v>
      </c>
    </row>
    <row r="949" spans="1:3" x14ac:dyDescent="0.2">
      <c r="A949">
        <v>4.5672183285677992</v>
      </c>
      <c r="B949">
        <v>0</v>
      </c>
      <c r="C949">
        <v>9</v>
      </c>
    </row>
    <row r="950" spans="1:3" x14ac:dyDescent="0.2">
      <c r="A950">
        <v>5.4361369508529531</v>
      </c>
      <c r="B950">
        <v>13</v>
      </c>
      <c r="C950">
        <v>0</v>
      </c>
    </row>
    <row r="951" spans="1:3" x14ac:dyDescent="0.2">
      <c r="A951">
        <v>9.2991665459739359</v>
      </c>
      <c r="B951">
        <v>0</v>
      </c>
      <c r="C951">
        <v>3</v>
      </c>
    </row>
    <row r="952" spans="1:3" x14ac:dyDescent="0.2">
      <c r="A952">
        <v>3.0581904119030243</v>
      </c>
      <c r="B952">
        <v>0</v>
      </c>
      <c r="C952">
        <v>9</v>
      </c>
    </row>
    <row r="953" spans="1:3" x14ac:dyDescent="0.2">
      <c r="A953">
        <v>7.0393816112073697</v>
      </c>
      <c r="B953">
        <v>0</v>
      </c>
      <c r="C953">
        <v>5</v>
      </c>
    </row>
    <row r="954" spans="1:3" x14ac:dyDescent="0.2">
      <c r="A954">
        <v>3.4001523735228996</v>
      </c>
      <c r="B954">
        <v>14</v>
      </c>
      <c r="C954">
        <v>0</v>
      </c>
    </row>
    <row r="955" spans="1:3" x14ac:dyDescent="0.2">
      <c r="A955">
        <v>7.1786485821930874</v>
      </c>
      <c r="B955">
        <v>3</v>
      </c>
      <c r="C955">
        <v>0</v>
      </c>
    </row>
    <row r="956" spans="1:3" x14ac:dyDescent="0.2">
      <c r="A956">
        <v>6.7741693994847392</v>
      </c>
      <c r="B956">
        <v>13</v>
      </c>
      <c r="C956">
        <v>0</v>
      </c>
    </row>
    <row r="957" spans="1:3" x14ac:dyDescent="0.2">
      <c r="A957">
        <v>11.456390991998441</v>
      </c>
      <c r="B957">
        <v>0</v>
      </c>
      <c r="C957">
        <v>2</v>
      </c>
    </row>
    <row r="958" spans="1:3" x14ac:dyDescent="0.2">
      <c r="A958">
        <v>2.9344738768491982</v>
      </c>
      <c r="B958">
        <v>0</v>
      </c>
      <c r="C958">
        <v>7</v>
      </c>
    </row>
    <row r="959" spans="1:3" x14ac:dyDescent="0.2">
      <c r="A959">
        <v>9.0028032448632231</v>
      </c>
      <c r="B959">
        <v>0</v>
      </c>
      <c r="C959">
        <v>2</v>
      </c>
    </row>
    <row r="960" spans="1:3" x14ac:dyDescent="0.2">
      <c r="A960">
        <v>9.1556225033551861</v>
      </c>
      <c r="B960">
        <v>4</v>
      </c>
      <c r="C960">
        <v>0</v>
      </c>
    </row>
    <row r="961" spans="1:3" x14ac:dyDescent="0.2">
      <c r="A961">
        <v>9.1385359143566269</v>
      </c>
      <c r="B961">
        <v>0</v>
      </c>
      <c r="C961">
        <v>3</v>
      </c>
    </row>
    <row r="962" spans="1:3" x14ac:dyDescent="0.2">
      <c r="A962">
        <v>3.4613037294109938</v>
      </c>
      <c r="B962">
        <v>0</v>
      </c>
      <c r="C962">
        <v>8</v>
      </c>
    </row>
    <row r="963" spans="1:3" x14ac:dyDescent="0.2">
      <c r="A963">
        <v>4.6732832123892445</v>
      </c>
      <c r="B963">
        <v>0</v>
      </c>
      <c r="C963">
        <v>4</v>
      </c>
    </row>
    <row r="964" spans="1:3" x14ac:dyDescent="0.2">
      <c r="A964">
        <v>2.0981460566860957</v>
      </c>
      <c r="B964">
        <v>15</v>
      </c>
      <c r="C964">
        <v>0</v>
      </c>
    </row>
    <row r="965" spans="1:3" x14ac:dyDescent="0.2">
      <c r="A965">
        <v>5.0601463501789059</v>
      </c>
      <c r="B965">
        <v>0</v>
      </c>
      <c r="C965">
        <v>7</v>
      </c>
    </row>
    <row r="966" spans="1:3" x14ac:dyDescent="0.2">
      <c r="A966">
        <v>5.444248889373025</v>
      </c>
      <c r="B966">
        <v>14</v>
      </c>
      <c r="C966">
        <v>0</v>
      </c>
    </row>
    <row r="967" spans="1:3" x14ac:dyDescent="0.2">
      <c r="A967">
        <v>7.3807557968320046</v>
      </c>
      <c r="B967">
        <v>0</v>
      </c>
      <c r="C967">
        <v>4</v>
      </c>
    </row>
    <row r="968" spans="1:3" x14ac:dyDescent="0.2">
      <c r="A968">
        <v>12.806517886763178</v>
      </c>
      <c r="B968">
        <v>0</v>
      </c>
      <c r="C968">
        <v>2</v>
      </c>
    </row>
    <row r="969" spans="1:3" x14ac:dyDescent="0.2">
      <c r="A969">
        <v>8.2765059224847253</v>
      </c>
      <c r="B969">
        <v>6</v>
      </c>
      <c r="C969">
        <v>0</v>
      </c>
    </row>
    <row r="970" spans="1:3" x14ac:dyDescent="0.2">
      <c r="A970">
        <v>3.8086743617658194</v>
      </c>
      <c r="B970">
        <v>0</v>
      </c>
      <c r="C970">
        <v>8</v>
      </c>
    </row>
    <row r="971" spans="1:3" x14ac:dyDescent="0.2">
      <c r="A971">
        <v>2.7184547914055766</v>
      </c>
      <c r="B971">
        <v>0</v>
      </c>
      <c r="C971">
        <v>7</v>
      </c>
    </row>
    <row r="972" spans="1:3" x14ac:dyDescent="0.2">
      <c r="A972">
        <v>4.0760596663529958</v>
      </c>
      <c r="B972">
        <v>0</v>
      </c>
      <c r="C972">
        <v>7</v>
      </c>
    </row>
    <row r="973" spans="1:3" x14ac:dyDescent="0.2">
      <c r="A973">
        <v>6.7484499339118136</v>
      </c>
      <c r="B973">
        <v>0</v>
      </c>
      <c r="C973">
        <v>7</v>
      </c>
    </row>
    <row r="974" spans="1:3" x14ac:dyDescent="0.2">
      <c r="A974">
        <v>6.6265235495507149</v>
      </c>
      <c r="B974">
        <v>0</v>
      </c>
      <c r="C974">
        <v>5</v>
      </c>
    </row>
    <row r="975" spans="1:3" x14ac:dyDescent="0.2">
      <c r="A975">
        <v>3.0527747208750906</v>
      </c>
      <c r="B975">
        <v>0</v>
      </c>
      <c r="C975">
        <v>9</v>
      </c>
    </row>
    <row r="976" spans="1:3" x14ac:dyDescent="0.2">
      <c r="A976">
        <v>4.5188453931199657</v>
      </c>
      <c r="B976">
        <v>0</v>
      </c>
      <c r="C976">
        <v>7</v>
      </c>
    </row>
    <row r="977" spans="1:3" x14ac:dyDescent="0.2">
      <c r="A977">
        <v>5.879274220150168</v>
      </c>
      <c r="B977">
        <v>0</v>
      </c>
      <c r="C977">
        <v>6</v>
      </c>
    </row>
    <row r="978" spans="1:3" x14ac:dyDescent="0.2">
      <c r="A978">
        <v>7.6042320227364257</v>
      </c>
      <c r="B978">
        <v>5</v>
      </c>
      <c r="C978">
        <v>0</v>
      </c>
    </row>
    <row r="979" spans="1:3" x14ac:dyDescent="0.2">
      <c r="A979">
        <v>3.0541667053104651</v>
      </c>
      <c r="B979">
        <v>0</v>
      </c>
      <c r="C979">
        <v>7</v>
      </c>
    </row>
    <row r="980" spans="1:3" x14ac:dyDescent="0.2">
      <c r="A980">
        <v>7.2629035106567184</v>
      </c>
      <c r="B980">
        <v>5</v>
      </c>
      <c r="C980">
        <v>0</v>
      </c>
    </row>
    <row r="981" spans="1:3" x14ac:dyDescent="0.2">
      <c r="A981">
        <v>4.2157782834027033</v>
      </c>
      <c r="B981">
        <v>0</v>
      </c>
      <c r="C981">
        <v>7</v>
      </c>
    </row>
    <row r="982" spans="1:3" x14ac:dyDescent="0.2">
      <c r="A982">
        <v>3.1878259361104351</v>
      </c>
      <c r="B982">
        <v>0</v>
      </c>
      <c r="C982">
        <v>7</v>
      </c>
    </row>
    <row r="983" spans="1:3" x14ac:dyDescent="0.2">
      <c r="A983">
        <v>6.0979519948794501</v>
      </c>
      <c r="B983">
        <v>0</v>
      </c>
      <c r="C983">
        <v>3</v>
      </c>
    </row>
    <row r="984" spans="1:3" x14ac:dyDescent="0.2">
      <c r="A984">
        <v>3.9550836849048703</v>
      </c>
      <c r="B984">
        <v>0</v>
      </c>
      <c r="C984">
        <v>8</v>
      </c>
    </row>
    <row r="985" spans="1:3" x14ac:dyDescent="0.2">
      <c r="A985">
        <v>13.103220439988064</v>
      </c>
      <c r="B985">
        <v>0</v>
      </c>
      <c r="C985">
        <v>2</v>
      </c>
    </row>
    <row r="986" spans="1:3" x14ac:dyDescent="0.2">
      <c r="A986">
        <v>4.9658411643182578</v>
      </c>
      <c r="B986">
        <v>14</v>
      </c>
      <c r="C986">
        <v>0</v>
      </c>
    </row>
    <row r="987" spans="1:3" x14ac:dyDescent="0.2">
      <c r="A987">
        <v>7.0588107131097919</v>
      </c>
      <c r="B987">
        <v>0</v>
      </c>
      <c r="C987">
        <v>5</v>
      </c>
    </row>
    <row r="988" spans="1:3" x14ac:dyDescent="0.2">
      <c r="A988">
        <v>4.3997460520342404</v>
      </c>
      <c r="B988">
        <v>15</v>
      </c>
      <c r="C988">
        <v>0</v>
      </c>
    </row>
    <row r="989" spans="1:3" x14ac:dyDescent="0.2">
      <c r="A989">
        <v>4.1845576184781672</v>
      </c>
      <c r="B989">
        <v>0</v>
      </c>
      <c r="C989">
        <v>4</v>
      </c>
    </row>
    <row r="990" spans="1:3" x14ac:dyDescent="0.2">
      <c r="A990">
        <v>3.0727716749089087</v>
      </c>
      <c r="B990">
        <v>11</v>
      </c>
      <c r="C990">
        <v>0</v>
      </c>
    </row>
    <row r="991" spans="1:3" x14ac:dyDescent="0.2">
      <c r="A991">
        <v>5.0427543224456413</v>
      </c>
      <c r="B991">
        <v>0</v>
      </c>
      <c r="C991">
        <v>7</v>
      </c>
    </row>
    <row r="992" spans="1:3" x14ac:dyDescent="0.2">
      <c r="A992">
        <v>5.2089568745107639</v>
      </c>
      <c r="B992">
        <v>0</v>
      </c>
      <c r="C992">
        <v>5</v>
      </c>
    </row>
    <row r="993" spans="1:3" x14ac:dyDescent="0.2">
      <c r="A993">
        <v>5.2801393331275444</v>
      </c>
      <c r="B993">
        <v>14</v>
      </c>
      <c r="C993">
        <v>0</v>
      </c>
    </row>
    <row r="994" spans="1:3" x14ac:dyDescent="0.2">
      <c r="A994">
        <v>4.9441346292630008</v>
      </c>
      <c r="B994">
        <v>0</v>
      </c>
      <c r="C994">
        <v>6</v>
      </c>
    </row>
    <row r="995" spans="1:3" x14ac:dyDescent="0.2">
      <c r="A995">
        <v>4.7331916330347923</v>
      </c>
      <c r="B995">
        <v>0</v>
      </c>
      <c r="C995">
        <v>5</v>
      </c>
    </row>
    <row r="996" spans="1:3" x14ac:dyDescent="0.2">
      <c r="A996">
        <v>7.2557992787835239</v>
      </c>
      <c r="B996">
        <v>0</v>
      </c>
      <c r="C996">
        <v>3</v>
      </c>
    </row>
    <row r="997" spans="1:3" x14ac:dyDescent="0.2">
      <c r="A997">
        <v>6.8608350374826541</v>
      </c>
      <c r="B997">
        <v>0</v>
      </c>
      <c r="C997">
        <v>4</v>
      </c>
    </row>
    <row r="998" spans="1:3" x14ac:dyDescent="0.2">
      <c r="A998">
        <v>3.4272043982150477</v>
      </c>
      <c r="B998">
        <v>0</v>
      </c>
      <c r="C998">
        <v>7</v>
      </c>
    </row>
    <row r="999" spans="1:3" x14ac:dyDescent="0.2">
      <c r="A999">
        <v>4.1834410623441416</v>
      </c>
      <c r="B999">
        <v>0</v>
      </c>
      <c r="C999">
        <v>10</v>
      </c>
    </row>
    <row r="1000" spans="1:3" x14ac:dyDescent="0.2">
      <c r="A1000">
        <v>3.1327711838233769</v>
      </c>
      <c r="B1000">
        <v>11</v>
      </c>
      <c r="C1000">
        <v>0</v>
      </c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Stochastic</vt:lpstr>
      <vt:lpstr>Deterministic (Exact)</vt:lpstr>
      <vt:lpstr>Deterministic (Time Step)</vt:lpstr>
      <vt:lpstr>Data Collection</vt:lpstr>
    </vt:vector>
  </TitlesOfParts>
  <Company>Naval Postgraduate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B. Widdis</dc:creator>
  <cp:lastModifiedBy>Hernandez, Alejandro (Andy) (COL)</cp:lastModifiedBy>
  <cp:lastPrinted>2012-02-01T18:19:56Z</cp:lastPrinted>
  <dcterms:created xsi:type="dcterms:W3CDTF">2006-01-11T21:18:46Z</dcterms:created>
  <dcterms:modified xsi:type="dcterms:W3CDTF">2012-02-01T23:20:26Z</dcterms:modified>
</cp:coreProperties>
</file>