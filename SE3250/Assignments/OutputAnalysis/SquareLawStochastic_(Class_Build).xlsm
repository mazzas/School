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vbaProjectSignature.bin" ContentType="application/vnd.ms-office.vbaProjectSignature"/>
  <Override PartName="/xl/theme/theme1.xml" ContentType="application/vnd.openxmlformats-officedocument.theme+xml"/>
  <Override PartName="/xl/styles.xml" ContentType="application/vnd.openxmlformats-officedocument.spreadsheetml.styles+xml"/>
  <Override PartName="/xl/embeddings/oleObject3.bin" ContentType="application/vnd.openxmlformats-officedocument.oleObject"/>
  <Override PartName="/xl/embeddings/oleObject4.bin" ContentType="application/vnd.openxmlformats-officedocument.oleObject"/>
  <Default Extension="emf" ContentType="image/x-emf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00000000-0000-0000-0000-000000000000}"/>
  <workbookPr codeName="ThisWorkbook" defaultThemeVersion="124226"/>
  <bookViews>
    <workbookView xWindow="120" yWindow="75" windowWidth="9435" windowHeight="10485"/>
  </bookViews>
  <sheets>
    <sheet name="Stochastic" sheetId="5" r:id="rId1"/>
    <sheet name="Deterministic (Exact)" sheetId="7" r:id="rId2"/>
    <sheet name="Deterministic (Time Step)" sheetId="1" r:id="rId3"/>
    <sheet name="Data Collection" sheetId="6" r:id="rId4"/>
  </sheets>
  <calcPr calcId="125725"/>
</workbook>
</file>

<file path=xl/calcChain.xml><?xml version="1.0" encoding="utf-8"?>
<calcChain xmlns="http://schemas.openxmlformats.org/spreadsheetml/2006/main">
  <c r="K26" i="5"/>
  <c r="J26"/>
  <c r="B2" i="7"/>
  <c r="B4"/>
  <c r="C4"/>
  <c r="C2"/>
  <c r="C4" i="1"/>
  <c r="B4"/>
  <c r="C2"/>
  <c r="B2"/>
  <c r="K28" i="5"/>
  <c r="J28"/>
  <c r="M28"/>
  <c r="L28"/>
  <c r="I28"/>
  <c r="D5" i="1"/>
  <c r="D6" s="1"/>
  <c r="D7" s="1"/>
  <c r="D8" s="1"/>
  <c r="D9" s="1"/>
  <c r="D10" s="1"/>
  <c r="D11" s="1"/>
  <c r="D12" s="1"/>
  <c r="D13" s="1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A5"/>
  <c r="A6" l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E4"/>
  <c r="B5" s="1"/>
  <c r="F5" s="1"/>
  <c r="F4"/>
  <c r="C5" s="1"/>
  <c r="E5" s="1"/>
  <c r="D4" i="7"/>
  <c r="E4"/>
  <c r="I26" i="5" s="1"/>
  <c r="B6" i="1" l="1"/>
  <c r="C6"/>
  <c r="E6" s="1"/>
  <c r="A34" i="7"/>
  <c r="C34" s="1"/>
  <c r="M26" i="5" s="1"/>
  <c r="A5" i="7"/>
  <c r="A6" s="1"/>
  <c r="F6" i="1"/>
  <c r="B7" l="1"/>
  <c r="F7" s="1"/>
  <c r="C7"/>
  <c r="E7" s="1"/>
  <c r="B34" i="7"/>
  <c r="L26" i="5" s="1"/>
  <c r="B5" i="7"/>
  <c r="C5"/>
  <c r="C6"/>
  <c r="A7"/>
  <c r="B6"/>
  <c r="C8" i="1" l="1"/>
  <c r="B8"/>
  <c r="F8" s="1"/>
  <c r="E8"/>
  <c r="A8" i="7"/>
  <c r="C7"/>
  <c r="B7"/>
  <c r="C9" i="1" l="1"/>
  <c r="B9"/>
  <c r="F9" s="1"/>
  <c r="E9"/>
  <c r="C8" i="7"/>
  <c r="A9"/>
  <c r="B8"/>
  <c r="C10" i="1" l="1"/>
  <c r="B10"/>
  <c r="F10" s="1"/>
  <c r="E10"/>
  <c r="A10" i="7"/>
  <c r="C9"/>
  <c r="B9"/>
  <c r="C11" i="1" l="1"/>
  <c r="B11"/>
  <c r="F11" s="1"/>
  <c r="E11"/>
  <c r="C10" i="7"/>
  <c r="A11"/>
  <c r="B10"/>
  <c r="C12" i="1" l="1"/>
  <c r="B12"/>
  <c r="F12" s="1"/>
  <c r="E12"/>
  <c r="A12" i="7"/>
  <c r="C11"/>
  <c r="B11"/>
  <c r="C13" i="1" l="1"/>
  <c r="E13" s="1"/>
  <c r="B13"/>
  <c r="F13" s="1"/>
  <c r="C12" i="7"/>
  <c r="A13"/>
  <c r="B12"/>
  <c r="C14" i="1" l="1"/>
  <c r="B14"/>
  <c r="F14" s="1"/>
  <c r="E14"/>
  <c r="A14" i="7"/>
  <c r="C13"/>
  <c r="B13"/>
  <c r="C15" i="1" l="1"/>
  <c r="B15"/>
  <c r="E15"/>
  <c r="F15"/>
  <c r="C14" i="7"/>
  <c r="A15"/>
  <c r="B14"/>
  <c r="C16" i="1" l="1"/>
  <c r="B16"/>
  <c r="E16"/>
  <c r="F16"/>
  <c r="A16" i="7"/>
  <c r="C15"/>
  <c r="B15"/>
  <c r="B17" i="1" l="1"/>
  <c r="C17"/>
  <c r="F17"/>
  <c r="E17"/>
  <c r="C16" i="7"/>
  <c r="A17"/>
  <c r="B16"/>
  <c r="B18" i="1" l="1"/>
  <c r="C18"/>
  <c r="F18"/>
  <c r="E18"/>
  <c r="A18" i="7"/>
  <c r="C17"/>
  <c r="B17"/>
  <c r="B19" i="1" l="1"/>
  <c r="C19"/>
  <c r="E19" s="1"/>
  <c r="F19"/>
  <c r="C18" i="7"/>
  <c r="A19"/>
  <c r="B18"/>
  <c r="B20" i="1" l="1"/>
  <c r="C20"/>
  <c r="E20" s="1"/>
  <c r="A20" i="7"/>
  <c r="C19"/>
  <c r="B19"/>
  <c r="F20" i="1"/>
  <c r="C21" s="1"/>
  <c r="B21" l="1"/>
  <c r="E21"/>
  <c r="F21"/>
  <c r="C22" s="1"/>
  <c r="C20" i="7"/>
  <c r="A21"/>
  <c r="B20"/>
  <c r="B22" i="1" l="1"/>
  <c r="E22"/>
  <c r="F22"/>
  <c r="C23" s="1"/>
  <c r="A22" i="7"/>
  <c r="C21"/>
  <c r="B21"/>
  <c r="B23" i="1" l="1"/>
  <c r="F23" s="1"/>
  <c r="C24" s="1"/>
  <c r="E23"/>
  <c r="B24" s="1"/>
  <c r="C22" i="7"/>
  <c r="A23"/>
  <c r="B22"/>
  <c r="F24" i="1" l="1"/>
  <c r="C25" s="1"/>
  <c r="E24"/>
  <c r="B25" s="1"/>
  <c r="A24" i="7"/>
  <c r="C23"/>
  <c r="B23"/>
  <c r="E25" i="1" l="1"/>
  <c r="F25"/>
  <c r="C26" s="1"/>
  <c r="B26"/>
  <c r="C24" i="7"/>
  <c r="A25"/>
  <c r="B24"/>
  <c r="E26" i="1" l="1"/>
  <c r="B27" s="1"/>
  <c r="A26" i="7"/>
  <c r="C25"/>
  <c r="B25"/>
  <c r="F26" i="1"/>
  <c r="C27" s="1"/>
  <c r="E27" l="1"/>
  <c r="B28" s="1"/>
  <c r="F27"/>
  <c r="C28" s="1"/>
  <c r="C26" i="7"/>
  <c r="A27"/>
  <c r="B26"/>
  <c r="E28" i="1" l="1"/>
  <c r="B29" s="1"/>
  <c r="F28"/>
  <c r="C29" s="1"/>
  <c r="A28" i="7"/>
  <c r="C27"/>
  <c r="B27"/>
  <c r="F29" i="1" l="1"/>
  <c r="C30" s="1"/>
  <c r="E29"/>
  <c r="B30" s="1"/>
  <c r="C28" i="7"/>
  <c r="A29"/>
  <c r="B28"/>
  <c r="F30" i="1" l="1"/>
  <c r="C31" s="1"/>
  <c r="E30"/>
  <c r="B31" s="1"/>
  <c r="A30" i="7"/>
  <c r="C29"/>
  <c r="B29"/>
  <c r="E31" i="1" l="1"/>
  <c r="F31"/>
  <c r="C32" s="1"/>
  <c r="B32"/>
  <c r="C30" i="7"/>
  <c r="A31"/>
  <c r="B30"/>
  <c r="E32" i="1" l="1"/>
  <c r="B33" s="1"/>
  <c r="A32" i="7"/>
  <c r="C31"/>
  <c r="B31"/>
  <c r="F32" i="1"/>
  <c r="C33" s="1"/>
  <c r="E33" l="1"/>
  <c r="F33"/>
  <c r="C34" s="1"/>
  <c r="B34"/>
  <c r="C32" i="7"/>
  <c r="A33"/>
  <c r="B32"/>
  <c r="E34" i="1" l="1"/>
  <c r="C33" i="7"/>
  <c r="B33"/>
  <c r="F34" i="1"/>
  <c r="C35" s="1"/>
  <c r="B35"/>
  <c r="E35" l="1"/>
  <c r="B36" s="1"/>
  <c r="F35"/>
  <c r="C36" s="1"/>
  <c r="E36" l="1"/>
  <c r="F36"/>
  <c r="C37" s="1"/>
  <c r="B37"/>
  <c r="F37" l="1"/>
  <c r="C38" s="1"/>
  <c r="E37"/>
  <c r="B38" s="1"/>
  <c r="F38" l="1"/>
  <c r="C39" s="1"/>
  <c r="E38"/>
  <c r="B39" s="1"/>
  <c r="E39" l="1"/>
  <c r="F39"/>
  <c r="C40" s="1"/>
  <c r="B40"/>
  <c r="E40" l="1"/>
  <c r="B41" s="1"/>
  <c r="F40"/>
  <c r="C41" s="1"/>
  <c r="F41" l="1"/>
  <c r="C42" s="1"/>
  <c r="E41"/>
  <c r="B42" s="1"/>
  <c r="F42" l="1"/>
  <c r="C43" s="1"/>
  <c r="E42"/>
  <c r="B43" s="1"/>
  <c r="E43" l="1"/>
  <c r="F43"/>
  <c r="C44" s="1"/>
  <c r="B44"/>
  <c r="E44" l="1"/>
  <c r="F44"/>
  <c r="C45" s="1"/>
  <c r="B45"/>
  <c r="E45" l="1"/>
  <c r="F45"/>
  <c r="C46" s="1"/>
  <c r="B46"/>
  <c r="E46" l="1"/>
  <c r="B47" s="1"/>
  <c r="F46"/>
  <c r="C47" s="1"/>
  <c r="E47" l="1"/>
  <c r="F47"/>
  <c r="C48" s="1"/>
  <c r="B48"/>
  <c r="E48" l="1"/>
  <c r="F48"/>
  <c r="C49" s="1"/>
  <c r="B49"/>
  <c r="E49" l="1"/>
  <c r="F49"/>
  <c r="C50" s="1"/>
  <c r="B50"/>
  <c r="E50" l="1"/>
  <c r="F50"/>
  <c r="C51" s="1"/>
  <c r="B51"/>
  <c r="E51" l="1"/>
  <c r="F51"/>
  <c r="C52" s="1"/>
  <c r="B52"/>
  <c r="E52" l="1"/>
  <c r="B53" s="1"/>
  <c r="F52"/>
  <c r="C53" s="1"/>
  <c r="M27" i="5" l="1"/>
  <c r="K27" s="1"/>
  <c r="E53" i="1"/>
  <c r="F53"/>
  <c r="C54" s="1"/>
  <c r="B54"/>
  <c r="L27" i="5"/>
  <c r="J27" s="1"/>
  <c r="I27"/>
  <c r="E54" i="1" l="1"/>
  <c r="B55" s="1"/>
  <c r="F54"/>
  <c r="C55" s="1"/>
  <c r="F55" l="1"/>
  <c r="C56" s="1"/>
  <c r="E55"/>
  <c r="B56" s="1"/>
  <c r="F56" l="1"/>
  <c r="C57" s="1"/>
  <c r="E56"/>
  <c r="B57" s="1"/>
  <c r="E57" l="1"/>
  <c r="F57"/>
  <c r="C58" s="1"/>
  <c r="B58"/>
  <c r="E58" l="1"/>
  <c r="B59" s="1"/>
  <c r="F58"/>
  <c r="C59" s="1"/>
  <c r="E59" l="1"/>
  <c r="F59"/>
  <c r="C60" s="1"/>
  <c r="B60"/>
  <c r="E60" l="1"/>
  <c r="F60"/>
  <c r="C61" s="1"/>
  <c r="B61"/>
  <c r="E61" l="1"/>
  <c r="F61"/>
  <c r="C62" s="1"/>
  <c r="B62"/>
  <c r="E62" l="1"/>
  <c r="F62"/>
  <c r="C63" s="1"/>
  <c r="B63"/>
  <c r="E63" l="1"/>
  <c r="F63"/>
  <c r="C64" s="1"/>
  <c r="B64"/>
  <c r="E64" l="1"/>
  <c r="B65" s="1"/>
  <c r="F64"/>
  <c r="C65" s="1"/>
  <c r="E65" l="1"/>
  <c r="F65"/>
  <c r="C66" s="1"/>
  <c r="B66"/>
  <c r="E66" l="1"/>
  <c r="B67" s="1"/>
  <c r="F66"/>
  <c r="C67" s="1"/>
  <c r="E67" l="1"/>
  <c r="F67"/>
  <c r="C68" s="1"/>
  <c r="B68"/>
  <c r="E68" l="1"/>
  <c r="F68"/>
  <c r="C69" s="1"/>
  <c r="E69" s="1"/>
  <c r="B69"/>
  <c r="F69" s="1"/>
</calcChain>
</file>

<file path=xl/sharedStrings.xml><?xml version="1.0" encoding="utf-8"?>
<sst xmlns="http://schemas.openxmlformats.org/spreadsheetml/2006/main" count="43" uniqueCount="28">
  <si>
    <t>a</t>
  </si>
  <si>
    <t>b</t>
  </si>
  <si>
    <t>X forces</t>
  </si>
  <si>
    <t>Y forces</t>
  </si>
  <si>
    <t>time</t>
  </si>
  <si>
    <r>
      <t>∆</t>
    </r>
    <r>
      <rPr>
        <b/>
        <sz val="10"/>
        <rFont val="Arial"/>
        <family val="2"/>
      </rPr>
      <t>t</t>
    </r>
  </si>
  <si>
    <t>Constant</t>
  </si>
  <si>
    <t>X losses</t>
  </si>
  <si>
    <t>Y losses</t>
  </si>
  <si>
    <t>a*y*∆t</t>
  </si>
  <si>
    <t>b*x*∆t</t>
  </si>
  <si>
    <t>Expon(λ)</t>
  </si>
  <si>
    <t>Unif &lt; P</t>
  </si>
  <si>
    <t>Unif &gt;= P</t>
  </si>
  <si>
    <t>λ=a*y+b*x</t>
  </si>
  <si>
    <t>P=a*y/(a*y+b*x)</t>
  </si>
  <si>
    <t>Model</t>
  </si>
  <si>
    <t>Time</t>
  </si>
  <si>
    <t>X Wins?</t>
  </si>
  <si>
    <t>Y wins?</t>
  </si>
  <si>
    <t>X left</t>
  </si>
  <si>
    <t>Y left</t>
  </si>
  <si>
    <t>Stochastic (this run)</t>
  </si>
  <si>
    <t>Stochastic (n=1000)</t>
  </si>
  <si>
    <t>Deterministic</t>
  </si>
  <si>
    <t>Note: These constants are linked to the Stochastic sheet</t>
  </si>
  <si>
    <t>Winner</t>
  </si>
  <si>
    <t>&lt;--- Push the button to recalculate the Stochastic average</t>
  </si>
</sst>
</file>

<file path=xl/styles.xml><?xml version="1.0" encoding="utf-8"?>
<styleSheet xmlns="http://schemas.openxmlformats.org/spreadsheetml/2006/main">
  <numFmts count="2">
    <numFmt numFmtId="164" formatCode="0.000"/>
    <numFmt numFmtId="165" formatCode="0.0%"/>
  </numFmts>
  <fonts count="6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2">
    <xf numFmtId="0" fontId="0" fillId="0" borderId="0" xfId="0"/>
    <xf numFmtId="0" fontId="3" fillId="0" borderId="0" xfId="0" applyFont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" fontId="3" fillId="0" borderId="0" xfId="0" applyNumberFormat="1" applyFont="1" applyAlignment="1">
      <alignment horizontal="center"/>
    </xf>
    <xf numFmtId="2" fontId="3" fillId="0" borderId="0" xfId="0" quotePrefix="1" applyNumberFormat="1" applyFont="1" applyAlignment="1">
      <alignment horizontal="center"/>
    </xf>
    <xf numFmtId="1" fontId="3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0" borderId="0" xfId="0" applyFont="1"/>
    <xf numFmtId="0" fontId="3" fillId="0" borderId="0" xfId="0" quotePrefix="1" applyFont="1" applyAlignment="1">
      <alignment horizontal="center"/>
    </xf>
    <xf numFmtId="1" fontId="5" fillId="0" borderId="0" xfId="0" applyNumberFormat="1" applyFont="1" applyAlignment="1">
      <alignment horizontal="center"/>
    </xf>
    <xf numFmtId="164" fontId="5" fillId="0" borderId="0" xfId="0" applyNumberFormat="1" applyFont="1"/>
    <xf numFmtId="2" fontId="5" fillId="0" borderId="0" xfId="0" applyNumberFormat="1" applyFont="1"/>
    <xf numFmtId="1" fontId="5" fillId="0" borderId="0" xfId="0" applyNumberFormat="1" applyFont="1"/>
    <xf numFmtId="165" fontId="5" fillId="0" borderId="0" xfId="1" applyNumberFormat="1" applyFont="1"/>
    <xf numFmtId="164" fontId="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164" fontId="5" fillId="0" borderId="0" xfId="0" applyNumberFormat="1" applyFont="1" applyAlignment="1">
      <alignment horizontal="right"/>
    </xf>
    <xf numFmtId="2" fontId="3" fillId="0" borderId="0" xfId="0" quotePrefix="1" applyNumberFormat="1" applyFont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Square Law Event Based Simulation
(Stochastic)</a:t>
            </a:r>
          </a:p>
        </c:rich>
      </c:tx>
      <c:layout>
        <c:manualLayout>
          <c:xMode val="edge"/>
          <c:yMode val="edge"/>
          <c:x val="0.20488808793984897"/>
          <c:y val="3.490126621706734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89516036826721"/>
          <c:y val="0.20649915845098177"/>
          <c:w val="0.82164304653429254"/>
          <c:h val="0.63403966961005664"/>
        </c:manualLayout>
      </c:layout>
      <c:scatterChart>
        <c:scatterStyle val="lineMarker"/>
        <c:ser>
          <c:idx val="0"/>
          <c:order val="0"/>
          <c:tx>
            <c:v>X Stochastic</c:v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Stochastic!$A$4:$A$34</c:f>
              <c:numCache>
                <c:formatCode>0.000</c:formatCode>
                <c:ptCount val="31"/>
                <c:pt idx="0" formatCode="General">
                  <c:v>0</c:v>
                </c:pt>
              </c:numCache>
            </c:numRef>
          </c:xVal>
          <c:yVal>
            <c:numRef>
              <c:f>Stochastic!$B$4:$B$34</c:f>
              <c:numCache>
                <c:formatCode>0</c:formatCode>
                <c:ptCount val="31"/>
                <c:pt idx="0">
                  <c:v>20</c:v>
                </c:pt>
              </c:numCache>
            </c:numRef>
          </c:yVal>
        </c:ser>
        <c:ser>
          <c:idx val="1"/>
          <c:order val="1"/>
          <c:tx>
            <c:v>Y Stochastic</c:v>
          </c:tx>
          <c:spPr>
            <a:ln w="381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Stochastic!$A$4:$A$34</c:f>
              <c:numCache>
                <c:formatCode>0.000</c:formatCode>
                <c:ptCount val="31"/>
                <c:pt idx="0" formatCode="General">
                  <c:v>0</c:v>
                </c:pt>
              </c:numCache>
            </c:numRef>
          </c:xVal>
          <c:yVal>
            <c:numRef>
              <c:f>Stochastic!$C$4:$C$34</c:f>
              <c:numCache>
                <c:formatCode>0</c:formatCode>
                <c:ptCount val="31"/>
                <c:pt idx="0">
                  <c:v>10</c:v>
                </c:pt>
              </c:numCache>
            </c:numRef>
          </c:yVal>
        </c:ser>
        <c:ser>
          <c:idx val="2"/>
          <c:order val="2"/>
          <c:tx>
            <c:v>X Deterministic</c:v>
          </c:tx>
          <c:spPr>
            <a:ln w="12700">
              <a:solidFill>
                <a:srgbClr val="000080"/>
              </a:solidFill>
              <a:prstDash val="sysDash"/>
            </a:ln>
          </c:spPr>
          <c:marker>
            <c:symbol val="none"/>
          </c:marker>
          <c:xVal>
            <c:numRef>
              <c:f>'Deterministic (Exact)'!$A$4:$A$34</c:f>
              <c:numCache>
                <c:formatCode>0.00</c:formatCode>
                <c:ptCount val="31"/>
                <c:pt idx="0" formatCode="General">
                  <c:v>0</c:v>
                </c:pt>
                <c:pt idx="1">
                  <c:v>0.215204470482002</c:v>
                </c:pt>
                <c:pt idx="2">
                  <c:v>0.43040894096400401</c:v>
                </c:pt>
                <c:pt idx="3">
                  <c:v>0.64561341144600604</c:v>
                </c:pt>
                <c:pt idx="4">
                  <c:v>0.86081788192800801</c:v>
                </c:pt>
                <c:pt idx="5">
                  <c:v>1.0760223524100101</c:v>
                </c:pt>
                <c:pt idx="6">
                  <c:v>1.2912268228920121</c:v>
                </c:pt>
                <c:pt idx="7">
                  <c:v>1.506431293374014</c:v>
                </c:pt>
                <c:pt idx="8">
                  <c:v>1.721635763856016</c:v>
                </c:pt>
                <c:pt idx="9">
                  <c:v>1.936840234338018</c:v>
                </c:pt>
                <c:pt idx="10">
                  <c:v>2.1520447048200202</c:v>
                </c:pt>
                <c:pt idx="11">
                  <c:v>2.3672491753020224</c:v>
                </c:pt>
                <c:pt idx="12">
                  <c:v>2.5824536457840246</c:v>
                </c:pt>
                <c:pt idx="13">
                  <c:v>2.7976581162660268</c:v>
                </c:pt>
                <c:pt idx="14">
                  <c:v>3.012862586748029</c:v>
                </c:pt>
                <c:pt idx="15">
                  <c:v>3.2280670572300312</c:v>
                </c:pt>
                <c:pt idx="16">
                  <c:v>3.4432715277120334</c:v>
                </c:pt>
                <c:pt idx="17">
                  <c:v>3.6584759981940356</c:v>
                </c:pt>
                <c:pt idx="18">
                  <c:v>3.8736804686760378</c:v>
                </c:pt>
                <c:pt idx="19">
                  <c:v>4.0888849391580395</c:v>
                </c:pt>
                <c:pt idx="20">
                  <c:v>4.3040894096400413</c:v>
                </c:pt>
                <c:pt idx="21">
                  <c:v>4.519293880122043</c:v>
                </c:pt>
                <c:pt idx="22">
                  <c:v>4.7344983506040448</c:v>
                </c:pt>
                <c:pt idx="23">
                  <c:v>4.9497028210860465</c:v>
                </c:pt>
                <c:pt idx="24">
                  <c:v>5.1649072915680483</c:v>
                </c:pt>
                <c:pt idx="25">
                  <c:v>5.38011176205005</c:v>
                </c:pt>
                <c:pt idx="26">
                  <c:v>5.5953162325320518</c:v>
                </c:pt>
                <c:pt idx="27">
                  <c:v>5.8105207030140535</c:v>
                </c:pt>
                <c:pt idx="28">
                  <c:v>6.0257251734960553</c:v>
                </c:pt>
                <c:pt idx="29">
                  <c:v>6.2409296439780571</c:v>
                </c:pt>
                <c:pt idx="30">
                  <c:v>6.4561341144600597</c:v>
                </c:pt>
              </c:numCache>
            </c:numRef>
          </c:xVal>
          <c:yVal>
            <c:numRef>
              <c:f>'Deterministic (Exact)'!$B$4:$B$34</c:f>
              <c:numCache>
                <c:formatCode>0.00</c:formatCode>
                <c:ptCount val="31"/>
                <c:pt idx="0" formatCode="0">
                  <c:v>20</c:v>
                </c:pt>
                <c:pt idx="1">
                  <c:v>18.946723268891581</c:v>
                </c:pt>
                <c:pt idx="2">
                  <c:v>17.937328950564876</c:v>
                </c:pt>
                <c:pt idx="3">
                  <c:v>16.969479191792821</c:v>
                </c:pt>
                <c:pt idx="4">
                  <c:v>16.040932360498871</c:v>
                </c:pt>
                <c:pt idx="5">
                  <c:v>15.149537853923917</c:v>
                </c:pt>
                <c:pt idx="6">
                  <c:v>14.293231117625824</c:v>
                </c:pt>
                <c:pt idx="7">
                  <c:v>13.470028863774985</c:v>
                </c:pt>
                <c:pt idx="8">
                  <c:v>12.678024477671141</c:v>
                </c:pt>
                <c:pt idx="9">
                  <c:v>11.915383601842407</c:v>
                </c:pt>
                <c:pt idx="10">
                  <c:v>11.180339887498949</c:v>
                </c:pt>
                <c:pt idx="11">
                  <c:v>10.471190903501219</c:v>
                </c:pt>
                <c:pt idx="12">
                  <c:v>9.7862941933675387</c:v>
                </c:pt>
                <c:pt idx="13">
                  <c:v>9.124063471188709</c:v>
                </c:pt>
                <c:pt idx="14">
                  <c:v>8.4829649476390045</c:v>
                </c:pt>
                <c:pt idx="15">
                  <c:v>7.8615137775742294</c:v>
                </c:pt>
                <c:pt idx="16">
                  <c:v>7.2582706209891814</c:v>
                </c:pt>
                <c:pt idx="17">
                  <c:v>6.6718383093693179</c:v>
                </c:pt>
                <c:pt idx="18">
                  <c:v>6.1008586097156243</c:v>
                </c:pt>
                <c:pt idx="19">
                  <c:v>5.5440090787478287</c:v>
                </c:pt>
                <c:pt idx="20">
                  <c:v>4.9999999999999964</c:v>
                </c:pt>
                <c:pt idx="21">
                  <c:v>4.4675713967145807</c:v>
                </c:pt>
                <c:pt idx="22">
                  <c:v>3.9454901136164131</c:v>
                </c:pt>
                <c:pt idx="23">
                  <c:v>3.4325469608078301</c:v>
                </c:pt>
                <c:pt idx="24">
                  <c:v>2.927553913169894</c:v>
                </c:pt>
                <c:pt idx="25">
                  <c:v>2.4293413587832289</c:v>
                </c:pt>
                <c:pt idx="26">
                  <c:v>1.9367553899956054</c:v>
                </c:pt>
                <c:pt idx="27">
                  <c:v>1.4486551308620914</c:v>
                </c:pt>
                <c:pt idx="28">
                  <c:v>0.96391009476786849</c:v>
                </c:pt>
                <c:pt idx="29">
                  <c:v>0.48139756611373041</c:v>
                </c:pt>
                <c:pt idx="30">
                  <c:v>-8.8817841970012523E-16</c:v>
                </c:pt>
              </c:numCache>
            </c:numRef>
          </c:yVal>
          <c:smooth val="1"/>
        </c:ser>
        <c:ser>
          <c:idx val="3"/>
          <c:order val="3"/>
          <c:tx>
            <c:v>Y Deterministic</c:v>
          </c:tx>
          <c:spPr>
            <a:ln w="12700">
              <a:solidFill>
                <a:srgbClr val="FF00FF"/>
              </a:solidFill>
              <a:prstDash val="sysDash"/>
            </a:ln>
          </c:spPr>
          <c:marker>
            <c:symbol val="none"/>
          </c:marker>
          <c:xVal>
            <c:numRef>
              <c:f>'Deterministic (Exact)'!$A$4:$A$34</c:f>
              <c:numCache>
                <c:formatCode>0.00</c:formatCode>
                <c:ptCount val="31"/>
                <c:pt idx="0" formatCode="General">
                  <c:v>0</c:v>
                </c:pt>
                <c:pt idx="1">
                  <c:v>0.215204470482002</c:v>
                </c:pt>
                <c:pt idx="2">
                  <c:v>0.43040894096400401</c:v>
                </c:pt>
                <c:pt idx="3">
                  <c:v>0.64561341144600604</c:v>
                </c:pt>
                <c:pt idx="4">
                  <c:v>0.86081788192800801</c:v>
                </c:pt>
                <c:pt idx="5">
                  <c:v>1.0760223524100101</c:v>
                </c:pt>
                <c:pt idx="6">
                  <c:v>1.2912268228920121</c:v>
                </c:pt>
                <c:pt idx="7">
                  <c:v>1.506431293374014</c:v>
                </c:pt>
                <c:pt idx="8">
                  <c:v>1.721635763856016</c:v>
                </c:pt>
                <c:pt idx="9">
                  <c:v>1.936840234338018</c:v>
                </c:pt>
                <c:pt idx="10">
                  <c:v>2.1520447048200202</c:v>
                </c:pt>
                <c:pt idx="11">
                  <c:v>2.3672491753020224</c:v>
                </c:pt>
                <c:pt idx="12">
                  <c:v>2.5824536457840246</c:v>
                </c:pt>
                <c:pt idx="13">
                  <c:v>2.7976581162660268</c:v>
                </c:pt>
                <c:pt idx="14">
                  <c:v>3.012862586748029</c:v>
                </c:pt>
                <c:pt idx="15">
                  <c:v>3.2280670572300312</c:v>
                </c:pt>
                <c:pt idx="16">
                  <c:v>3.4432715277120334</c:v>
                </c:pt>
                <c:pt idx="17">
                  <c:v>3.6584759981940356</c:v>
                </c:pt>
                <c:pt idx="18">
                  <c:v>3.8736804686760378</c:v>
                </c:pt>
                <c:pt idx="19">
                  <c:v>4.0888849391580395</c:v>
                </c:pt>
                <c:pt idx="20">
                  <c:v>4.3040894096400413</c:v>
                </c:pt>
                <c:pt idx="21">
                  <c:v>4.519293880122043</c:v>
                </c:pt>
                <c:pt idx="22">
                  <c:v>4.7344983506040448</c:v>
                </c:pt>
                <c:pt idx="23">
                  <c:v>4.9497028210860465</c:v>
                </c:pt>
                <c:pt idx="24">
                  <c:v>5.1649072915680483</c:v>
                </c:pt>
                <c:pt idx="25">
                  <c:v>5.38011176205005</c:v>
                </c:pt>
                <c:pt idx="26">
                  <c:v>5.5953162325320518</c:v>
                </c:pt>
                <c:pt idx="27">
                  <c:v>5.8105207030140535</c:v>
                </c:pt>
                <c:pt idx="28">
                  <c:v>6.0257251734960553</c:v>
                </c:pt>
                <c:pt idx="29">
                  <c:v>6.2409296439780571</c:v>
                </c:pt>
                <c:pt idx="30">
                  <c:v>6.4561341144600597</c:v>
                </c:pt>
              </c:numCache>
            </c:numRef>
          </c:xVal>
          <c:yVal>
            <c:numRef>
              <c:f>'Deterministic (Exact)'!$C$4:$C$34</c:f>
              <c:numCache>
                <c:formatCode>0.00</c:formatCode>
                <c:ptCount val="31"/>
                <c:pt idx="0" formatCode="0">
                  <c:v>10</c:v>
                </c:pt>
                <c:pt idx="1">
                  <c:v>9.5810054026491152</c:v>
                </c:pt>
                <c:pt idx="2">
                  <c:v>9.1842013248923582</c:v>
                </c:pt>
                <c:pt idx="3">
                  <c:v>8.8086687307525597</c:v>
                </c:pt>
                <c:pt idx="4">
                  <c:v>8.4535378510313635</c:v>
                </c:pt>
                <c:pt idx="5">
                  <c:v>8.1179861688410586</c:v>
                </c:pt>
                <c:pt idx="6">
                  <c:v>7.8012365145772513</c:v>
                </c:pt>
                <c:pt idx="7">
                  <c:v>7.5025552659201553</c:v>
                </c:pt>
                <c:pt idx="8">
                  <c:v>7.2212506486955359</c:v>
                </c:pt>
                <c:pt idx="9">
                  <c:v>6.9566711346599517</c:v>
                </c:pt>
                <c:pt idx="10">
                  <c:v>6.7082039324993694</c:v>
                </c:pt>
                <c:pt idx="11">
                  <c:v>6.475273568546223</c:v>
                </c:pt>
                <c:pt idx="12">
                  <c:v>6.2573405539276701</c:v>
                </c:pt>
                <c:pt idx="13">
                  <c:v>6.053900135058063</c:v>
                </c:pt>
                <c:pt idx="14">
                  <c:v>5.8644811245816459</c:v>
                </c:pt>
                <c:pt idx="15">
                  <c:v>5.6886448100578306</c:v>
                </c:pt>
                <c:pt idx="16">
                  <c:v>5.5259839378614686</c:v>
                </c:pt>
                <c:pt idx="17">
                  <c:v>5.3761217699447252</c:v>
                </c:pt>
                <c:pt idx="18">
                  <c:v>5.238711211275942</c:v>
                </c:pt>
                <c:pt idx="19">
                  <c:v>5.1134340059345309</c:v>
                </c:pt>
                <c:pt idx="20">
                  <c:v>4.9999999999999991</c:v>
                </c:pt>
                <c:pt idx="21">
                  <c:v>4.898146469527882</c:v>
                </c:pt>
                <c:pt idx="22">
                  <c:v>4.8076375120561003</c:v>
                </c:pt>
                <c:pt idx="23">
                  <c:v>4.728263500232428</c:v>
                </c:pt>
                <c:pt idx="24">
                  <c:v>4.6598405962976104</c:v>
                </c:pt>
                <c:pt idx="25">
                  <c:v>4.6022103262996295</c:v>
                </c:pt>
                <c:pt idx="26">
                  <c:v>4.5552392130529658</c:v>
                </c:pt>
                <c:pt idx="27">
                  <c:v>4.5188184669927391</c:v>
                </c:pt>
                <c:pt idx="28">
                  <c:v>4.4928637342077344</c:v>
                </c:pt>
                <c:pt idx="29">
                  <c:v>4.4773149010687234</c:v>
                </c:pt>
                <c:pt idx="30">
                  <c:v>4.4721359549995787</c:v>
                </c:pt>
              </c:numCache>
            </c:numRef>
          </c:yVal>
          <c:smooth val="1"/>
        </c:ser>
        <c:axId val="83953920"/>
        <c:axId val="84034304"/>
      </c:scatterChart>
      <c:valAx>
        <c:axId val="83953920"/>
        <c:scaling>
          <c:orientation val="minMax"/>
          <c:max val="8"/>
          <c:min val="0"/>
        </c:scaling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</a:t>
                </a:r>
              </a:p>
            </c:rich>
          </c:tx>
          <c:layout>
            <c:manualLayout>
              <c:xMode val="edge"/>
              <c:yMode val="edge"/>
              <c:x val="0.51012952507472598"/>
              <c:y val="0.919066677049439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4034304"/>
        <c:crosses val="autoZero"/>
        <c:crossBetween val="midCat"/>
      </c:valAx>
      <c:valAx>
        <c:axId val="84034304"/>
        <c:scaling>
          <c:orientation val="minMax"/>
          <c:max val="20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Forces remaining</a:t>
                </a:r>
              </a:p>
            </c:rich>
          </c:tx>
          <c:layout>
            <c:manualLayout>
              <c:xMode val="edge"/>
              <c:yMode val="edge"/>
              <c:x val="2.7179032073653443E-2"/>
              <c:y val="0.34028734561640656"/>
            </c:manualLayout>
          </c:layout>
          <c:spPr>
            <a:noFill/>
            <a:ln w="25400">
              <a:noFill/>
            </a:ln>
          </c:spPr>
        </c:title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39539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3975260111830401"/>
          <c:y val="0.21522447500524861"/>
          <c:w val="0.30733213190977354"/>
          <c:h val="0.25885105777658274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Square Law Time Step Simulation
(Deterministic)</a:t>
            </a:r>
          </a:p>
        </c:rich>
      </c:tx>
      <c:layout>
        <c:manualLayout>
          <c:xMode val="edge"/>
          <c:yMode val="edge"/>
          <c:x val="0.22174859324037013"/>
          <c:y val="3.5559654107509497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4285726679908459"/>
          <c:y val="0.21335792464505696"/>
          <c:w val="0.8144996405559749"/>
          <c:h val="0.61933064237245705"/>
        </c:manualLayout>
      </c:layout>
      <c:scatterChart>
        <c:scatterStyle val="lineMarker"/>
        <c:ser>
          <c:idx val="0"/>
          <c:order val="0"/>
          <c:tx>
            <c:strRef>
              <c:f>'Deterministic (Time Step)'!$B$3</c:f>
              <c:strCache>
                <c:ptCount val="1"/>
                <c:pt idx="0">
                  <c:v>X forces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'Deterministic (Time Step)'!$A$4:$A$69</c:f>
              <c:numCache>
                <c:formatCode>General</c:formatCode>
                <c:ptCount val="66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</c:numCache>
            </c:numRef>
          </c:xVal>
          <c:yVal>
            <c:numRef>
              <c:f>'Deterministic (Time Step)'!$B$4:$B$69</c:f>
              <c:numCache>
                <c:formatCode>0.00</c:formatCode>
                <c:ptCount val="66"/>
                <c:pt idx="0" formatCode="0">
                  <c:v>20</c:v>
                </c:pt>
                <c:pt idx="1">
                  <c:v>19.5</c:v>
                </c:pt>
                <c:pt idx="2">
                  <c:v>19.010000000000002</c:v>
                </c:pt>
                <c:pt idx="3">
                  <c:v>18.52975</c:v>
                </c:pt>
                <c:pt idx="4">
                  <c:v>18.059004999999999</c:v>
                </c:pt>
                <c:pt idx="5">
                  <c:v>17.597524874999998</c:v>
                </c:pt>
                <c:pt idx="6">
                  <c:v>17.145074252499999</c:v>
                </c:pt>
                <c:pt idx="7">
                  <c:v>16.7014223924375</c:v>
                </c:pt>
                <c:pt idx="8">
                  <c:v>16.26634306950125</c:v>
                </c:pt>
                <c:pt idx="9">
                  <c:v>15.839614457761218</c:v>
                </c:pt>
                <c:pt idx="10">
                  <c:v>15.421019017555938</c:v>
                </c:pt>
                <c:pt idx="11">
                  <c:v>15.010343384579539</c:v>
                </c:pt>
                <c:pt idx="12">
                  <c:v>14.607378261111917</c:v>
                </c:pt>
                <c:pt idx="13">
                  <c:v>14.211918309336584</c:v>
                </c:pt>
                <c:pt idx="14">
                  <c:v>13.823762046691808</c:v>
                </c:pt>
                <c:pt idx="15">
                  <c:v>13.4427117432017</c:v>
                </c:pt>
                <c:pt idx="16">
                  <c:v>13.068573320734938</c:v>
                </c:pt>
                <c:pt idx="17">
                  <c:v>12.701156254139777</c:v>
                </c:pt>
                <c:pt idx="18">
                  <c:v>12.340273474204983</c:v>
                </c:pt>
                <c:pt idx="19">
                  <c:v>11.985741272397259</c:v>
                </c:pt>
                <c:pt idx="20">
                  <c:v>11.637379207326639</c:v>
                </c:pt>
                <c:pt idx="21">
                  <c:v>11.295010012892217</c:v>
                </c:pt>
                <c:pt idx="22">
                  <c:v>10.958459508061457</c:v>
                </c:pt>
                <c:pt idx="23">
                  <c:v>10.627556508237143</c:v>
                </c:pt>
                <c:pt idx="24">
                  <c:v>10.302132738166861</c:v>
                </c:pt>
                <c:pt idx="25">
                  <c:v>9.9820227463506974</c:v>
                </c:pt>
                <c:pt idx="26">
                  <c:v>9.6670638209036159</c:v>
                </c:pt>
                <c:pt idx="27">
                  <c:v>9.357095906829711</c:v>
                </c:pt>
                <c:pt idx="28">
                  <c:v>9.0519615246662575</c:v>
                </c:pt>
                <c:pt idx="29">
                  <c:v>8.7515056904562183</c:v>
                </c:pt>
                <c:pt idx="30">
                  <c:v>8.4555758370085119</c:v>
                </c:pt>
                <c:pt idx="31">
                  <c:v>8.1640217364060348</c:v>
                </c:pt>
                <c:pt idx="32">
                  <c:v>7.8766954237220617</c:v>
                </c:pt>
                <c:pt idx="33">
                  <c:v>7.5934511219062912</c:v>
                </c:pt>
                <c:pt idx="34">
                  <c:v>7.3141451678023817</c:v>
                </c:pt>
                <c:pt idx="35">
                  <c:v>7.038635939259426</c:v>
                </c:pt>
                <c:pt idx="36">
                  <c:v>6.7667837833003714</c:v>
                </c:pt>
                <c:pt idx="37">
                  <c:v>6.498450945310946</c:v>
                </c:pt>
                <c:pt idx="38">
                  <c:v>6.2335014992131708</c:v>
                </c:pt>
                <c:pt idx="39">
                  <c:v>5.9718012785880514</c:v>
                </c:pt>
                <c:pt idx="40">
                  <c:v>5.7132178087125389</c:v>
                </c:pt>
                <c:pt idx="41">
                  <c:v>5.45762023947632</c:v>
                </c:pt>
                <c:pt idx="42">
                  <c:v>5.2048792791444578</c:v>
                </c:pt>
                <c:pt idx="43">
                  <c:v>4.9548671289323334</c:v>
                </c:pt>
                <c:pt idx="44">
                  <c:v>4.7074574183597813</c:v>
                </c:pt>
                <c:pt idx="45">
                  <c:v>4.4625251413516951</c:v>
                </c:pt>
                <c:pt idx="46">
                  <c:v>4.2199465930527893</c:v>
                </c:pt>
                <c:pt idx="47">
                  <c:v>3.979599307324559</c:v>
                </c:pt>
                <c:pt idx="48">
                  <c:v>3.7413619948928551</c:v>
                </c:pt>
                <c:pt idx="49">
                  <c:v>3.5051144821148137</c:v>
                </c:pt>
                <c:pt idx="50">
                  <c:v>3.2707376503342185</c:v>
                </c:pt>
                <c:pt idx="51">
                  <c:v>3.0381133757946808</c:v>
                </c:pt>
                <c:pt idx="52">
                  <c:v>2.8071244700803102</c:v>
                </c:pt>
                <c:pt idx="53">
                  <c:v>2.5776546210538367</c:v>
                </c:pt>
                <c:pt idx="54">
                  <c:v>2.3495883342624038</c:v>
                </c:pt>
                <c:pt idx="55">
                  <c:v>2.1228108747814978</c:v>
                </c:pt>
                <c:pt idx="56">
                  <c:v>1.8972082094677227</c:v>
                </c:pt>
                <c:pt idx="57">
                  <c:v>1.6726669495913384</c:v>
                </c:pt>
                <c:pt idx="58">
                  <c:v>1.4490742938196881</c:v>
                </c:pt>
                <c:pt idx="59">
                  <c:v>1.2263179715228334</c:v>
                </c:pt>
                <c:pt idx="60">
                  <c:v>1.0042861863728885</c:v>
                </c:pt>
                <c:pt idx="61">
                  <c:v>0.78286756020870507</c:v>
                </c:pt>
                <c:pt idx="62">
                  <c:v>0.56195107713770809</c:v>
                </c:pt>
                <c:pt idx="63">
                  <c:v>0.34142602784681547</c:v>
                </c:pt>
                <c:pt idx="64">
                  <c:v>0.12118195409449173</c:v>
                </c:pt>
                <c:pt idx="65">
                  <c:v>0</c:v>
                </c:pt>
              </c:numCache>
            </c:numRef>
          </c:yVal>
        </c:ser>
        <c:ser>
          <c:idx val="1"/>
          <c:order val="1"/>
          <c:tx>
            <c:strRef>
              <c:f>'Deterministic (Time Step)'!$C$3</c:f>
              <c:strCache>
                <c:ptCount val="1"/>
                <c:pt idx="0">
                  <c:v>Y forces</c:v>
                </c:pt>
              </c:strCache>
            </c:strRef>
          </c:tx>
          <c:spPr>
            <a:ln w="381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'Deterministic (Time Step)'!$A$4:$A$69</c:f>
              <c:numCache>
                <c:formatCode>General</c:formatCode>
                <c:ptCount val="66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</c:numCache>
            </c:numRef>
          </c:xVal>
          <c:yVal>
            <c:numRef>
              <c:f>'Deterministic (Time Step)'!$C$4:$C$69</c:f>
              <c:numCache>
                <c:formatCode>0.00</c:formatCode>
                <c:ptCount val="66"/>
                <c:pt idx="0" formatCode="0">
                  <c:v>10</c:v>
                </c:pt>
                <c:pt idx="1">
                  <c:v>9.8000000000000007</c:v>
                </c:pt>
                <c:pt idx="2">
                  <c:v>9.6050000000000004</c:v>
                </c:pt>
                <c:pt idx="3">
                  <c:v>9.4149000000000012</c:v>
                </c:pt>
                <c:pt idx="4">
                  <c:v>9.2296025000000004</c:v>
                </c:pt>
                <c:pt idx="5">
                  <c:v>9.0490124500000011</c:v>
                </c:pt>
                <c:pt idx="6">
                  <c:v>8.8730372012500016</c:v>
                </c:pt>
                <c:pt idx="7">
                  <c:v>8.7015864587250018</c:v>
                </c:pt>
                <c:pt idx="8">
                  <c:v>8.5345722348006277</c:v>
                </c:pt>
                <c:pt idx="9">
                  <c:v>8.3719088041056153</c:v>
                </c:pt>
                <c:pt idx="10">
                  <c:v>8.2135126595280035</c:v>
                </c:pt>
                <c:pt idx="11">
                  <c:v>8.0593024693524438</c:v>
                </c:pt>
                <c:pt idx="12">
                  <c:v>7.9091990355066484</c:v>
                </c:pt>
                <c:pt idx="13">
                  <c:v>7.763125252895529</c:v>
                </c:pt>
                <c:pt idx="14">
                  <c:v>7.6210060698021636</c:v>
                </c:pt>
                <c:pt idx="15">
                  <c:v>7.4827684493352455</c:v>
                </c:pt>
                <c:pt idx="16">
                  <c:v>7.3483413319032289</c:v>
                </c:pt>
                <c:pt idx="17">
                  <c:v>7.2176555986958792</c:v>
                </c:pt>
                <c:pt idx="18">
                  <c:v>7.0906440361544814</c:v>
                </c:pt>
                <c:pt idx="19">
                  <c:v>6.9672413014124315</c:v>
                </c:pt>
                <c:pt idx="20">
                  <c:v>6.8473838886884586</c:v>
                </c:pt>
                <c:pt idx="21">
                  <c:v>6.7310100966151918</c:v>
                </c:pt>
                <c:pt idx="22">
                  <c:v>6.6180599964862692</c:v>
                </c:pt>
                <c:pt idx="23">
                  <c:v>6.5084754014056543</c:v>
                </c:pt>
                <c:pt idx="24">
                  <c:v>6.402199836323283</c:v>
                </c:pt>
                <c:pt idx="25">
                  <c:v>6.2991785089416146</c:v>
                </c:pt>
                <c:pt idx="26">
                  <c:v>6.1993582814781076</c:v>
                </c:pt>
                <c:pt idx="27">
                  <c:v>6.1026876432690713</c:v>
                </c:pt>
                <c:pt idx="28">
                  <c:v>6.0091166842007739</c:v>
                </c:pt>
                <c:pt idx="29">
                  <c:v>5.918597068954111</c:v>
                </c:pt>
                <c:pt idx="30">
                  <c:v>5.8310820120495492</c:v>
                </c:pt>
                <c:pt idx="31">
                  <c:v>5.7465262536794643</c:v>
                </c:pt>
                <c:pt idx="32">
                  <c:v>5.6648860363154041</c:v>
                </c:pt>
                <c:pt idx="33">
                  <c:v>5.5861190820781834</c:v>
                </c:pt>
                <c:pt idx="34">
                  <c:v>5.5101845708591206</c:v>
                </c:pt>
                <c:pt idx="35">
                  <c:v>5.4370431191810971</c:v>
                </c:pt>
                <c:pt idx="36">
                  <c:v>5.3666567597885031</c:v>
                </c:pt>
                <c:pt idx="37">
                  <c:v>5.2989889219554991</c:v>
                </c:pt>
                <c:pt idx="38">
                  <c:v>5.2340044125023892</c:v>
                </c:pt>
                <c:pt idx="39">
                  <c:v>5.1716693975102572</c:v>
                </c:pt>
                <c:pt idx="40">
                  <c:v>5.1119513847243763</c:v>
                </c:pt>
                <c:pt idx="41">
                  <c:v>5.0548192066372506</c:v>
                </c:pt>
                <c:pt idx="42">
                  <c:v>5.0002430042424875</c:v>
                </c:pt>
                <c:pt idx="43">
                  <c:v>4.9481942114510433</c:v>
                </c:pt>
                <c:pt idx="44">
                  <c:v>4.8986455401617199</c:v>
                </c:pt>
                <c:pt idx="45">
                  <c:v>4.8515709659781221</c:v>
                </c:pt>
                <c:pt idx="46">
                  <c:v>4.8069457145646055</c:v>
                </c:pt>
                <c:pt idx="47">
                  <c:v>4.7647462486340775</c:v>
                </c:pt>
                <c:pt idx="48">
                  <c:v>4.7249502555608318</c:v>
                </c:pt>
                <c:pt idx="49">
                  <c:v>4.6875366356119033</c:v>
                </c:pt>
                <c:pt idx="50">
                  <c:v>4.6524854907907551</c:v>
                </c:pt>
                <c:pt idx="51">
                  <c:v>4.6197781142874126</c:v>
                </c:pt>
                <c:pt idx="52">
                  <c:v>4.5893969805294654</c:v>
                </c:pt>
                <c:pt idx="53">
                  <c:v>4.5613257358286621</c:v>
                </c:pt>
                <c:pt idx="54">
                  <c:v>4.5355491896181235</c:v>
                </c:pt>
                <c:pt idx="55">
                  <c:v>4.5120533062754991</c:v>
                </c:pt>
                <c:pt idx="56">
                  <c:v>4.4908251975276841</c:v>
                </c:pt>
                <c:pt idx="57">
                  <c:v>4.4718531154330066</c:v>
                </c:pt>
                <c:pt idx="58">
                  <c:v>4.4551264459370934</c:v>
                </c:pt>
                <c:pt idx="59">
                  <c:v>4.4406357029988968</c:v>
                </c:pt>
                <c:pt idx="60">
                  <c:v>4.4283725232836684</c:v>
                </c:pt>
                <c:pt idx="61">
                  <c:v>4.4183296614199392</c:v>
                </c:pt>
                <c:pt idx="62">
                  <c:v>4.4105009858178521</c:v>
                </c:pt>
                <c:pt idx="63">
                  <c:v>4.4048814750464746</c:v>
                </c:pt>
                <c:pt idx="64">
                  <c:v>4.4014672147680063</c:v>
                </c:pt>
                <c:pt idx="65">
                  <c:v>4.4002553952270613</c:v>
                </c:pt>
              </c:numCache>
            </c:numRef>
          </c:yVal>
        </c:ser>
        <c:axId val="94047232"/>
        <c:axId val="94073984"/>
      </c:scatterChart>
      <c:valAx>
        <c:axId val="94047232"/>
        <c:scaling>
          <c:orientation val="minMax"/>
          <c:max val="8"/>
          <c:min val="0"/>
        </c:scaling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</a:t>
                </a:r>
              </a:p>
            </c:rich>
          </c:tx>
          <c:layout>
            <c:manualLayout>
              <c:xMode val="edge"/>
              <c:yMode val="edge"/>
              <c:x val="0.51385972087431919"/>
              <c:y val="0.9156610932683696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4073984"/>
        <c:crosses val="autoZero"/>
        <c:crossBetween val="midCat"/>
      </c:valAx>
      <c:valAx>
        <c:axId val="94073984"/>
        <c:scaling>
          <c:orientation val="minMax"/>
          <c:max val="20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Forces remaining</a:t>
                </a:r>
              </a:p>
            </c:rich>
          </c:tx>
          <c:layout>
            <c:manualLayout>
              <c:xMode val="edge"/>
              <c:yMode val="edge"/>
              <c:x val="3.1982970178899547E-2"/>
              <c:y val="0.33485340951238124"/>
            </c:manualLayout>
          </c:layout>
          <c:spPr>
            <a:noFill/>
            <a:ln w="25400">
              <a:noFill/>
            </a:ln>
          </c:spPr>
        </c:title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40472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3560831411468952"/>
          <c:y val="0.30818366893174903"/>
          <c:w val="0.18550122703761729"/>
          <c:h val="0.1274220938852424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 orientation="landscape" horizontalDpi="300" verticalDpi="30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2</xdr:row>
      <xdr:rowOff>152400</xdr:rowOff>
    </xdr:from>
    <xdr:to>
      <xdr:col>13</xdr:col>
      <xdr:colOff>247650</xdr:colOff>
      <xdr:row>22</xdr:row>
      <xdr:rowOff>142875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2</xdr:row>
      <xdr:rowOff>152400</xdr:rowOff>
    </xdr:from>
    <xdr:to>
      <xdr:col>13</xdr:col>
      <xdr:colOff>247650</xdr:colOff>
      <xdr:row>22</xdr:row>
      <xdr:rowOff>142875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4.bin"/><Relationship Id="rId5" Type="http://schemas.openxmlformats.org/officeDocument/2006/relationships/oleObject" Target="../embeddings/oleObject3.bin"/><Relationship Id="rId4" Type="http://schemas.openxmlformats.org/officeDocument/2006/relationships/oleObject" Target="../embeddings/oleObject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M34"/>
  <sheetViews>
    <sheetView tabSelected="1" zoomScale="145" workbookViewId="0">
      <selection activeCell="B19" sqref="B19"/>
    </sheetView>
  </sheetViews>
  <sheetFormatPr defaultRowHeight="12.75"/>
  <cols>
    <col min="1" max="1" width="9.140625" style="4"/>
    <col min="2" max="3" width="9.140625" style="5"/>
    <col min="4" max="4" width="10.140625" style="4" customWidth="1"/>
    <col min="5" max="6" width="9.140625" style="5"/>
    <col min="8" max="8" width="10.28515625" customWidth="1"/>
  </cols>
  <sheetData>
    <row r="1" spans="1:6">
      <c r="A1" s="2"/>
      <c r="B1" s="3" t="s">
        <v>0</v>
      </c>
      <c r="C1" s="3" t="s">
        <v>1</v>
      </c>
      <c r="D1" s="12" t="s">
        <v>14</v>
      </c>
      <c r="E1" s="21" t="s">
        <v>15</v>
      </c>
      <c r="F1" s="21"/>
    </row>
    <row r="2" spans="1:6">
      <c r="B2" s="3">
        <v>0.5</v>
      </c>
      <c r="C2" s="3">
        <v>0.1</v>
      </c>
      <c r="D2" s="2" t="s">
        <v>5</v>
      </c>
      <c r="E2" s="6" t="s">
        <v>7</v>
      </c>
      <c r="F2" s="6" t="s">
        <v>8</v>
      </c>
    </row>
    <row r="3" spans="1:6" s="1" customFormat="1">
      <c r="A3" s="3" t="s">
        <v>4</v>
      </c>
      <c r="B3" s="6" t="s">
        <v>2</v>
      </c>
      <c r="C3" s="6" t="s">
        <v>3</v>
      </c>
      <c r="D3" s="2" t="s">
        <v>11</v>
      </c>
      <c r="E3" s="6" t="s">
        <v>12</v>
      </c>
      <c r="F3" s="7" t="s">
        <v>13</v>
      </c>
    </row>
    <row r="4" spans="1:6" s="1" customFormat="1">
      <c r="A4" s="3">
        <v>0</v>
      </c>
      <c r="B4" s="8">
        <v>20</v>
      </c>
      <c r="C4" s="8">
        <v>10</v>
      </c>
      <c r="D4" s="18"/>
      <c r="E4" s="13"/>
      <c r="F4" s="13"/>
    </row>
    <row r="5" spans="1:6" s="11" customFormat="1">
      <c r="A5" s="18"/>
      <c r="B5" s="13"/>
      <c r="C5" s="13"/>
      <c r="D5" s="18"/>
      <c r="E5" s="13"/>
      <c r="F5" s="13"/>
    </row>
    <row r="6" spans="1:6" s="11" customFormat="1">
      <c r="A6" s="18"/>
      <c r="B6" s="13"/>
      <c r="C6" s="13"/>
      <c r="D6" s="18"/>
      <c r="E6" s="13"/>
      <c r="F6" s="13"/>
    </row>
    <row r="7" spans="1:6" s="11" customFormat="1">
      <c r="A7" s="18"/>
      <c r="B7" s="13"/>
      <c r="C7" s="13"/>
      <c r="D7" s="18"/>
      <c r="E7" s="13"/>
      <c r="F7" s="13"/>
    </row>
    <row r="8" spans="1:6" s="11" customFormat="1">
      <c r="A8" s="18"/>
      <c r="B8" s="13"/>
      <c r="C8" s="13"/>
      <c r="D8" s="18"/>
      <c r="E8" s="13"/>
      <c r="F8" s="13"/>
    </row>
    <row r="9" spans="1:6" s="11" customFormat="1">
      <c r="A9" s="18"/>
      <c r="B9" s="13"/>
      <c r="C9" s="13"/>
      <c r="D9" s="18"/>
      <c r="E9" s="13"/>
      <c r="F9" s="13"/>
    </row>
    <row r="10" spans="1:6" s="11" customFormat="1">
      <c r="A10" s="18"/>
      <c r="B10" s="13"/>
      <c r="C10" s="13"/>
      <c r="D10" s="18"/>
      <c r="E10" s="13"/>
      <c r="F10" s="13"/>
    </row>
    <row r="11" spans="1:6" s="11" customFormat="1">
      <c r="A11" s="18"/>
      <c r="B11" s="13"/>
      <c r="C11" s="13"/>
      <c r="D11" s="18"/>
      <c r="E11" s="13"/>
      <c r="F11" s="13"/>
    </row>
    <row r="12" spans="1:6" s="11" customFormat="1">
      <c r="A12" s="18"/>
      <c r="B12" s="13"/>
      <c r="C12" s="13"/>
      <c r="D12" s="18"/>
      <c r="E12" s="13"/>
      <c r="F12" s="13"/>
    </row>
    <row r="13" spans="1:6" s="11" customFormat="1">
      <c r="A13" s="18"/>
      <c r="B13" s="13"/>
      <c r="C13" s="13"/>
      <c r="D13" s="18"/>
      <c r="E13" s="13"/>
      <c r="F13" s="13"/>
    </row>
    <row r="14" spans="1:6" s="11" customFormat="1">
      <c r="A14" s="18"/>
      <c r="B14" s="13"/>
      <c r="C14" s="13"/>
      <c r="D14" s="18"/>
      <c r="E14" s="13"/>
      <c r="F14" s="13"/>
    </row>
    <row r="15" spans="1:6" s="11" customFormat="1">
      <c r="A15" s="18"/>
      <c r="B15" s="13"/>
      <c r="C15" s="13"/>
      <c r="D15" s="18"/>
      <c r="E15" s="13"/>
      <c r="F15" s="13"/>
    </row>
    <row r="16" spans="1:6" s="11" customFormat="1">
      <c r="A16" s="18"/>
      <c r="B16" s="13"/>
      <c r="C16" s="13"/>
      <c r="D16" s="18"/>
      <c r="E16" s="13"/>
      <c r="F16" s="13"/>
    </row>
    <row r="17" spans="1:13" s="11" customFormat="1">
      <c r="A17" s="18"/>
      <c r="B17" s="13"/>
      <c r="C17" s="13"/>
      <c r="D17" s="18"/>
      <c r="E17" s="13"/>
      <c r="F17" s="13"/>
    </row>
    <row r="18" spans="1:13" s="11" customFormat="1">
      <c r="A18" s="18"/>
      <c r="B18" s="13"/>
      <c r="C18" s="13"/>
      <c r="D18" s="18"/>
      <c r="E18" s="13"/>
      <c r="F18" s="13"/>
    </row>
    <row r="19" spans="1:13" s="11" customFormat="1">
      <c r="A19" s="18"/>
      <c r="B19" s="13"/>
      <c r="C19" s="13"/>
      <c r="D19" s="18"/>
      <c r="E19" s="13"/>
      <c r="F19" s="13"/>
    </row>
    <row r="20" spans="1:13" s="11" customFormat="1">
      <c r="A20" s="18"/>
      <c r="B20" s="13"/>
      <c r="C20" s="13"/>
      <c r="D20" s="18"/>
      <c r="E20" s="13"/>
      <c r="F20" s="13"/>
    </row>
    <row r="21" spans="1:13" s="11" customFormat="1">
      <c r="A21" s="18"/>
      <c r="B21" s="13"/>
      <c r="C21" s="13"/>
      <c r="D21" s="18"/>
      <c r="E21" s="13"/>
      <c r="F21" s="13"/>
    </row>
    <row r="22" spans="1:13" s="11" customFormat="1">
      <c r="A22" s="18"/>
      <c r="B22" s="13"/>
      <c r="C22" s="13"/>
      <c r="D22" s="18"/>
      <c r="E22" s="13"/>
      <c r="F22" s="13"/>
    </row>
    <row r="23" spans="1:13" s="11" customFormat="1">
      <c r="A23" s="18"/>
      <c r="B23" s="13"/>
      <c r="C23" s="13"/>
      <c r="D23" s="18"/>
      <c r="E23" s="13"/>
      <c r="F23" s="13"/>
    </row>
    <row r="24" spans="1:13" s="11" customFormat="1">
      <c r="A24" s="18"/>
      <c r="B24" s="13"/>
      <c r="C24" s="13"/>
      <c r="D24" s="18"/>
      <c r="E24" s="13"/>
      <c r="F24" s="13"/>
    </row>
    <row r="25" spans="1:13" s="11" customFormat="1">
      <c r="A25" s="18"/>
      <c r="B25" s="13"/>
      <c r="C25" s="13"/>
      <c r="D25" s="18"/>
      <c r="E25" s="13"/>
      <c r="F25" s="13"/>
      <c r="G25" s="1" t="s">
        <v>16</v>
      </c>
      <c r="H25" s="1"/>
      <c r="I25" s="1" t="s">
        <v>17</v>
      </c>
      <c r="J25" s="1" t="s">
        <v>18</v>
      </c>
      <c r="K25" s="1" t="s">
        <v>19</v>
      </c>
      <c r="L25" s="1" t="s">
        <v>20</v>
      </c>
      <c r="M25" s="1" t="s">
        <v>21</v>
      </c>
    </row>
    <row r="26" spans="1:13" s="11" customFormat="1">
      <c r="A26" s="18"/>
      <c r="B26" s="13"/>
      <c r="C26" s="13"/>
      <c r="D26" s="18"/>
      <c r="E26" s="13"/>
      <c r="F26" s="13"/>
      <c r="G26" s="1" t="s">
        <v>24</v>
      </c>
      <c r="I26" s="20">
        <f>IF('Deterministic (Exact)'!E4=999,"Infinity",'Deterministic (Exact)'!E4)</f>
        <v>6.4561341144600597</v>
      </c>
      <c r="J26" s="11" t="str">
        <f>IF(B4/C4=SQRT(B2/C2),"Draw",IF(B4/C4&gt;SQRT(B2/C2),"Yes","No"))</f>
        <v>No</v>
      </c>
      <c r="K26" s="11" t="str">
        <f>IF(B4/C4=SQRT(B2/C2),"Draw",IF(B4/C4&lt;SQRT(B2/C2),"Yes","No"))</f>
        <v>Yes</v>
      </c>
      <c r="L26" s="15">
        <f>'Deterministic (Exact)'!B34</f>
        <v>-8.8817841970012523E-16</v>
      </c>
      <c r="M26" s="15">
        <f>'Deterministic (Exact)'!C34</f>
        <v>4.4721359549995787</v>
      </c>
    </row>
    <row r="27" spans="1:13" s="11" customFormat="1">
      <c r="A27" s="18"/>
      <c r="B27" s="13"/>
      <c r="C27" s="13"/>
      <c r="D27" s="18"/>
      <c r="E27" s="13"/>
      <c r="F27" s="13"/>
      <c r="G27" s="1" t="s">
        <v>22</v>
      </c>
      <c r="I27" s="14">
        <f>A34</f>
        <v>0</v>
      </c>
      <c r="J27" s="11" t="str">
        <f>IF(L27&gt;0,"Yes","No")</f>
        <v>No</v>
      </c>
      <c r="K27" s="11" t="str">
        <f>IF(M27&gt;0,"Yes","No")</f>
        <v>No</v>
      </c>
      <c r="L27" s="16">
        <f>B34</f>
        <v>0</v>
      </c>
      <c r="M27" s="16">
        <f>C34</f>
        <v>0</v>
      </c>
    </row>
    <row r="28" spans="1:13" s="11" customFormat="1">
      <c r="A28" s="18"/>
      <c r="B28" s="13"/>
      <c r="C28" s="13"/>
      <c r="D28" s="18"/>
      <c r="E28" s="13"/>
      <c r="F28" s="13"/>
      <c r="G28" s="1" t="s">
        <v>23</v>
      </c>
      <c r="I28" s="14">
        <f>AVERAGE('Data Collection'!A:A)</f>
        <v>5.7951125633099903</v>
      </c>
      <c r="J28" s="17">
        <f>COUNTIF('Data Collection'!B:B,"&gt;0")/COUNT('Data Collection'!B:B)</f>
        <v>0.27400000000000002</v>
      </c>
      <c r="K28" s="17">
        <f>COUNTIF('Data Collection'!C:C,"&gt;0")/COUNT('Data Collection'!C:C)</f>
        <v>0.72599999999999998</v>
      </c>
      <c r="L28" s="15">
        <f>AVERAGE('Data Collection'!B:B)</f>
        <v>2.7</v>
      </c>
      <c r="M28" s="15">
        <f>AVERAGE('Data Collection'!C:C)</f>
        <v>4.2679999999999998</v>
      </c>
    </row>
    <row r="29" spans="1:13" s="11" customFormat="1">
      <c r="A29" s="18"/>
      <c r="B29" s="13"/>
      <c r="C29" s="13"/>
      <c r="D29" s="18"/>
      <c r="E29" s="13"/>
      <c r="F29" s="13"/>
    </row>
    <row r="30" spans="1:13" s="11" customFormat="1">
      <c r="A30" s="18"/>
      <c r="B30" s="13"/>
      <c r="C30" s="13"/>
      <c r="D30" s="18"/>
      <c r="E30" s="13"/>
      <c r="F30" s="13"/>
      <c r="G30"/>
      <c r="H30"/>
      <c r="I30" t="s">
        <v>27</v>
      </c>
      <c r="J30"/>
      <c r="K30"/>
      <c r="L30"/>
      <c r="M30"/>
    </row>
    <row r="31" spans="1:13">
      <c r="A31" s="18"/>
      <c r="B31" s="13"/>
      <c r="C31" s="13"/>
      <c r="D31" s="18"/>
      <c r="E31" s="13"/>
      <c r="F31" s="13"/>
    </row>
    <row r="32" spans="1:13">
      <c r="A32" s="18"/>
      <c r="B32" s="13"/>
      <c r="C32" s="13"/>
      <c r="D32" s="18"/>
      <c r="E32" s="13"/>
      <c r="F32" s="13"/>
    </row>
    <row r="33" spans="1:6">
      <c r="A33" s="18"/>
      <c r="B33" s="13"/>
      <c r="C33" s="13"/>
      <c r="D33" s="18"/>
      <c r="E33" s="13"/>
      <c r="F33" s="13"/>
    </row>
    <row r="34" spans="1:6">
      <c r="A34" s="18"/>
      <c r="B34" s="13"/>
      <c r="C34" s="13"/>
      <c r="D34" s="18"/>
      <c r="E34" s="13"/>
      <c r="F34" s="13"/>
    </row>
  </sheetData>
  <mergeCells count="1">
    <mergeCell ref="E1:F1"/>
  </mergeCells>
  <phoneticPr fontId="2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E34"/>
  <sheetViews>
    <sheetView zoomScale="115" workbookViewId="0">
      <selection activeCell="O30" sqref="O30"/>
    </sheetView>
  </sheetViews>
  <sheetFormatPr defaultRowHeight="12.75"/>
  <cols>
    <col min="1" max="1" width="9.140625" style="4"/>
    <col min="4" max="4" width="9.140625" style="4"/>
    <col min="5" max="5" width="10" style="4" bestFit="1" customWidth="1"/>
  </cols>
  <sheetData>
    <row r="1" spans="1:5">
      <c r="A1" s="2"/>
      <c r="B1" s="3" t="s">
        <v>0</v>
      </c>
      <c r="C1" s="3" t="s">
        <v>1</v>
      </c>
      <c r="D1" s="19" t="s">
        <v>25</v>
      </c>
    </row>
    <row r="2" spans="1:5">
      <c r="B2" s="3">
        <f>Stochastic!B2</f>
        <v>0.5</v>
      </c>
      <c r="C2" s="3">
        <f>Stochastic!C2</f>
        <v>0.1</v>
      </c>
    </row>
    <row r="3" spans="1:5">
      <c r="A3" s="3" t="s">
        <v>4</v>
      </c>
      <c r="B3" s="6" t="s">
        <v>2</v>
      </c>
      <c r="C3" s="6" t="s">
        <v>3</v>
      </c>
      <c r="D3" s="3" t="s">
        <v>26</v>
      </c>
      <c r="E3" s="3" t="s">
        <v>17</v>
      </c>
    </row>
    <row r="4" spans="1:5">
      <c r="A4" s="3">
        <v>0</v>
      </c>
      <c r="B4" s="8">
        <f>Stochastic!B4</f>
        <v>20</v>
      </c>
      <c r="C4" s="8">
        <f>Stochastic!C4</f>
        <v>10</v>
      </c>
      <c r="D4" s="4" t="str">
        <f>IF(B4/C4&gt;SQRT(B2/C2),"X","Y")</f>
        <v>Y</v>
      </c>
      <c r="E4" s="4">
        <f>IF(B4/C4=SQRT(B2/C2),999,IF(B4/C4&gt;SQRT(B2/C2),LN((SQRT(C2/B2)*B4+C4)/(SQRT(C2/B2)*B4-C4))/(2*SQRT(B2*C2)),LN((SQRT(B2/C2)*C4+B4)/(SQRT(B2/C2)*C4-B4))/(2*SQRT(B2*C2))))</f>
        <v>6.4561341144600597</v>
      </c>
    </row>
    <row r="5" spans="1:5">
      <c r="A5" s="5">
        <f>A4+MIN(1,$E$4/30)</f>
        <v>0.215204470482002</v>
      </c>
      <c r="B5" s="5">
        <f>(($B$4-SQRT($B$2/$C$2)*$C$4)*EXP(SQRT($B$2*$C$2)*$A5)+($B$4+SQRT($B$2/$C$2)*$C$4)*EXP(-SQRT($B$2*$C$2)*$A5))/2</f>
        <v>18.946723268891581</v>
      </c>
      <c r="C5" s="5">
        <f>(($C$4-SQRT($C$2/$B$2)*$B$4)*EXP(SQRT($B$2*$C$2)*$A5)+($C$4+SQRT($C$2/$B$2)*$B$4)*EXP(-SQRT($B$2*$C$2)*$A5))/2</f>
        <v>9.5810054026491152</v>
      </c>
    </row>
    <row r="6" spans="1:5">
      <c r="A6" s="5">
        <f t="shared" ref="A6:A33" si="0">A5+MIN(1,$E$4/30)</f>
        <v>0.43040894096400401</v>
      </c>
      <c r="B6" s="5">
        <f t="shared" ref="B6:B34" si="1">(($B$4-SQRT($B$2/$C$2)*$C$4)*EXP(SQRT($B$2*$C$2)*$A6)+($B$4+SQRT($B$2/$C$2)*$C$4)*EXP(-SQRT($B$2*$C$2)*$A6))/2</f>
        <v>17.937328950564876</v>
      </c>
      <c r="C6" s="5">
        <f t="shared" ref="C6:C34" si="2">(($C$4-SQRT($C$2/$B$2)*$B$4)*EXP(SQRT($B$2*$C$2)*$A6)+($C$4+SQRT($C$2/$B$2)*$B$4)*EXP(-SQRT($B$2*$C$2)*$A6))/2</f>
        <v>9.1842013248923582</v>
      </c>
    </row>
    <row r="7" spans="1:5">
      <c r="A7" s="5">
        <f t="shared" si="0"/>
        <v>0.64561341144600604</v>
      </c>
      <c r="B7" s="5">
        <f t="shared" si="1"/>
        <v>16.969479191792821</v>
      </c>
      <c r="C7" s="5">
        <f t="shared" si="2"/>
        <v>8.8086687307525597</v>
      </c>
    </row>
    <row r="8" spans="1:5">
      <c r="A8" s="5">
        <f t="shared" si="0"/>
        <v>0.86081788192800801</v>
      </c>
      <c r="B8" s="5">
        <f t="shared" si="1"/>
        <v>16.040932360498871</v>
      </c>
      <c r="C8" s="5">
        <f t="shared" si="2"/>
        <v>8.4535378510313635</v>
      </c>
    </row>
    <row r="9" spans="1:5">
      <c r="A9" s="5">
        <f t="shared" si="0"/>
        <v>1.0760223524100101</v>
      </c>
      <c r="B9" s="5">
        <f t="shared" si="1"/>
        <v>15.149537853923917</v>
      </c>
      <c r="C9" s="5">
        <f t="shared" si="2"/>
        <v>8.1179861688410586</v>
      </c>
    </row>
    <row r="10" spans="1:5">
      <c r="A10" s="5">
        <f t="shared" si="0"/>
        <v>1.2912268228920121</v>
      </c>
      <c r="B10" s="5">
        <f t="shared" si="1"/>
        <v>14.293231117625824</v>
      </c>
      <c r="C10" s="5">
        <f t="shared" si="2"/>
        <v>7.8012365145772513</v>
      </c>
    </row>
    <row r="11" spans="1:5">
      <c r="A11" s="5">
        <f t="shared" si="0"/>
        <v>1.506431293374014</v>
      </c>
      <c r="B11" s="5">
        <f t="shared" si="1"/>
        <v>13.470028863774985</v>
      </c>
      <c r="C11" s="5">
        <f t="shared" si="2"/>
        <v>7.5025552659201553</v>
      </c>
    </row>
    <row r="12" spans="1:5">
      <c r="A12" s="5">
        <f t="shared" si="0"/>
        <v>1.721635763856016</v>
      </c>
      <c r="B12" s="5">
        <f t="shared" si="1"/>
        <v>12.678024477671141</v>
      </c>
      <c r="C12" s="5">
        <f t="shared" si="2"/>
        <v>7.2212506486955359</v>
      </c>
    </row>
    <row r="13" spans="1:5">
      <c r="A13" s="5">
        <f t="shared" si="0"/>
        <v>1.936840234338018</v>
      </c>
      <c r="B13" s="5">
        <f t="shared" si="1"/>
        <v>11.915383601842407</v>
      </c>
      <c r="C13" s="5">
        <f t="shared" si="2"/>
        <v>6.9566711346599517</v>
      </c>
    </row>
    <row r="14" spans="1:5">
      <c r="A14" s="5">
        <f t="shared" si="0"/>
        <v>2.1520447048200202</v>
      </c>
      <c r="B14" s="5">
        <f t="shared" si="1"/>
        <v>11.180339887498949</v>
      </c>
      <c r="C14" s="5">
        <f t="shared" si="2"/>
        <v>6.7082039324993694</v>
      </c>
    </row>
    <row r="15" spans="1:5">
      <c r="A15" s="5">
        <f t="shared" si="0"/>
        <v>2.3672491753020224</v>
      </c>
      <c r="B15" s="5">
        <f t="shared" si="1"/>
        <v>10.471190903501219</v>
      </c>
      <c r="C15" s="5">
        <f t="shared" si="2"/>
        <v>6.475273568546223</v>
      </c>
    </row>
    <row r="16" spans="1:5">
      <c r="A16" s="5">
        <f t="shared" si="0"/>
        <v>2.5824536457840246</v>
      </c>
      <c r="B16" s="5">
        <f t="shared" si="1"/>
        <v>9.7862941933675387</v>
      </c>
      <c r="C16" s="5">
        <f t="shared" si="2"/>
        <v>6.2573405539276701</v>
      </c>
    </row>
    <row r="17" spans="1:3">
      <c r="A17" s="5">
        <f t="shared" si="0"/>
        <v>2.7976581162660268</v>
      </c>
      <c r="B17" s="5">
        <f t="shared" si="1"/>
        <v>9.124063471188709</v>
      </c>
      <c r="C17" s="5">
        <f t="shared" si="2"/>
        <v>6.053900135058063</v>
      </c>
    </row>
    <row r="18" spans="1:3">
      <c r="A18" s="5">
        <f t="shared" si="0"/>
        <v>3.012862586748029</v>
      </c>
      <c r="B18" s="5">
        <f t="shared" si="1"/>
        <v>8.4829649476390045</v>
      </c>
      <c r="C18" s="5">
        <f t="shared" si="2"/>
        <v>5.8644811245816459</v>
      </c>
    </row>
    <row r="19" spans="1:3">
      <c r="A19" s="5">
        <f t="shared" si="0"/>
        <v>3.2280670572300312</v>
      </c>
      <c r="B19" s="5">
        <f t="shared" si="1"/>
        <v>7.8615137775742294</v>
      </c>
      <c r="C19" s="5">
        <f t="shared" si="2"/>
        <v>5.6886448100578306</v>
      </c>
    </row>
    <row r="20" spans="1:3">
      <c r="A20" s="5">
        <f t="shared" si="0"/>
        <v>3.4432715277120334</v>
      </c>
      <c r="B20" s="5">
        <f t="shared" si="1"/>
        <v>7.2582706209891814</v>
      </c>
      <c r="C20" s="5">
        <f t="shared" si="2"/>
        <v>5.5259839378614686</v>
      </c>
    </row>
    <row r="21" spans="1:3">
      <c r="A21" s="5">
        <f t="shared" si="0"/>
        <v>3.6584759981940356</v>
      </c>
      <c r="B21" s="5">
        <f t="shared" si="1"/>
        <v>6.6718383093693179</v>
      </c>
      <c r="C21" s="5">
        <f t="shared" si="2"/>
        <v>5.3761217699447252</v>
      </c>
    </row>
    <row r="22" spans="1:3">
      <c r="A22" s="5">
        <f t="shared" si="0"/>
        <v>3.8736804686760378</v>
      </c>
      <c r="B22" s="5">
        <f t="shared" si="1"/>
        <v>6.1008586097156243</v>
      </c>
      <c r="C22" s="5">
        <f t="shared" si="2"/>
        <v>5.238711211275942</v>
      </c>
    </row>
    <row r="23" spans="1:3">
      <c r="A23" s="5">
        <f t="shared" si="0"/>
        <v>4.0888849391580395</v>
      </c>
      <c r="B23" s="5">
        <f t="shared" si="1"/>
        <v>5.5440090787478287</v>
      </c>
      <c r="C23" s="5">
        <f t="shared" si="2"/>
        <v>5.1134340059345309</v>
      </c>
    </row>
    <row r="24" spans="1:3">
      <c r="A24" s="5">
        <f t="shared" si="0"/>
        <v>4.3040894096400413</v>
      </c>
      <c r="B24" s="5">
        <f t="shared" si="1"/>
        <v>4.9999999999999964</v>
      </c>
      <c r="C24" s="5">
        <f t="shared" si="2"/>
        <v>4.9999999999999991</v>
      </c>
    </row>
    <row r="25" spans="1:3">
      <c r="A25" s="5">
        <f t="shared" si="0"/>
        <v>4.519293880122043</v>
      </c>
      <c r="B25" s="5">
        <f t="shared" si="1"/>
        <v>4.4675713967145807</v>
      </c>
      <c r="C25" s="5">
        <f t="shared" si="2"/>
        <v>4.898146469527882</v>
      </c>
    </row>
    <row r="26" spans="1:3">
      <c r="A26" s="5">
        <f t="shared" si="0"/>
        <v>4.7344983506040448</v>
      </c>
      <c r="B26" s="5">
        <f t="shared" si="1"/>
        <v>3.9454901136164131</v>
      </c>
      <c r="C26" s="5">
        <f t="shared" si="2"/>
        <v>4.8076375120561003</v>
      </c>
    </row>
    <row r="27" spans="1:3">
      <c r="A27" s="5">
        <f t="shared" si="0"/>
        <v>4.9497028210860465</v>
      </c>
      <c r="B27" s="5">
        <f t="shared" si="1"/>
        <v>3.4325469608078301</v>
      </c>
      <c r="C27" s="5">
        <f t="shared" si="2"/>
        <v>4.728263500232428</v>
      </c>
    </row>
    <row r="28" spans="1:3">
      <c r="A28" s="5">
        <f t="shared" si="0"/>
        <v>5.1649072915680483</v>
      </c>
      <c r="B28" s="5">
        <f t="shared" si="1"/>
        <v>2.927553913169894</v>
      </c>
      <c r="C28" s="5">
        <f t="shared" si="2"/>
        <v>4.6598405962976104</v>
      </c>
    </row>
    <row r="29" spans="1:3">
      <c r="A29" s="5">
        <f t="shared" si="0"/>
        <v>5.38011176205005</v>
      </c>
      <c r="B29" s="5">
        <f t="shared" si="1"/>
        <v>2.4293413587832289</v>
      </c>
      <c r="C29" s="5">
        <f t="shared" si="2"/>
        <v>4.6022103262996295</v>
      </c>
    </row>
    <row r="30" spans="1:3">
      <c r="A30" s="5">
        <f t="shared" si="0"/>
        <v>5.5953162325320518</v>
      </c>
      <c r="B30" s="5">
        <f t="shared" si="1"/>
        <v>1.9367553899956054</v>
      </c>
      <c r="C30" s="5">
        <f t="shared" si="2"/>
        <v>4.5552392130529658</v>
      </c>
    </row>
    <row r="31" spans="1:3">
      <c r="A31" s="5">
        <f t="shared" si="0"/>
        <v>5.8105207030140535</v>
      </c>
      <c r="B31" s="5">
        <f t="shared" si="1"/>
        <v>1.4486551308620914</v>
      </c>
      <c r="C31" s="5">
        <f t="shared" si="2"/>
        <v>4.5188184669927391</v>
      </c>
    </row>
    <row r="32" spans="1:3">
      <c r="A32" s="5">
        <f t="shared" si="0"/>
        <v>6.0257251734960553</v>
      </c>
      <c r="B32" s="5">
        <f t="shared" si="1"/>
        <v>0.96391009476786849</v>
      </c>
      <c r="C32" s="5">
        <f t="shared" si="2"/>
        <v>4.4928637342077344</v>
      </c>
    </row>
    <row r="33" spans="1:3">
      <c r="A33" s="5">
        <f t="shared" si="0"/>
        <v>6.2409296439780571</v>
      </c>
      <c r="B33" s="5">
        <f t="shared" si="1"/>
        <v>0.48139756611373041</v>
      </c>
      <c r="C33" s="5">
        <f t="shared" si="2"/>
        <v>4.4773149010687234</v>
      </c>
    </row>
    <row r="34" spans="1:3">
      <c r="A34" s="5">
        <f>E4</f>
        <v>6.4561341144600597</v>
      </c>
      <c r="B34" s="5">
        <f t="shared" si="1"/>
        <v>-8.8817841970012523E-16</v>
      </c>
      <c r="C34" s="5">
        <f t="shared" si="2"/>
        <v>4.4721359549995787</v>
      </c>
    </row>
  </sheetData>
  <phoneticPr fontId="2" type="noConversion"/>
  <pageMargins left="0.75" right="0.75" top="1" bottom="1" header="0.5" footer="0.5"/>
  <pageSetup orientation="portrait" horizontalDpi="300" verticalDpi="300" r:id="rId1"/>
  <headerFooter alignWithMargins="0"/>
  <legacyDrawing r:id="rId2"/>
  <oleObjects>
    <oleObject progId="Equation.DSMT4" shapeId="4097" r:id="rId3"/>
    <oleObject progId="Equation.DSMT4" shapeId="4098" r:id="rId4"/>
    <oleObject progId="Equation.DSMT4" shapeId="4099" r:id="rId5"/>
    <oleObject progId="Equation.DSMT4" shapeId="4100" r:id="rId6"/>
  </oleObjec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F69"/>
  <sheetViews>
    <sheetView zoomScale="130" workbookViewId="0"/>
  </sheetViews>
  <sheetFormatPr defaultRowHeight="12.75"/>
  <cols>
    <col min="1" max="1" width="9.140625" style="4"/>
    <col min="2" max="3" width="9.140625" style="5"/>
    <col min="4" max="4" width="10.140625" style="4" customWidth="1"/>
    <col min="5" max="6" width="9.140625" style="5"/>
  </cols>
  <sheetData>
    <row r="1" spans="1:6">
      <c r="A1" s="2"/>
      <c r="B1" s="3" t="s">
        <v>0</v>
      </c>
      <c r="C1" s="3" t="s">
        <v>1</v>
      </c>
      <c r="D1" s="19" t="s">
        <v>25</v>
      </c>
    </row>
    <row r="2" spans="1:6">
      <c r="B2" s="3">
        <f>Stochastic!B2</f>
        <v>0.5</v>
      </c>
      <c r="C2" s="3">
        <f>Stochastic!C2</f>
        <v>0.1</v>
      </c>
      <c r="D2" s="2" t="s">
        <v>5</v>
      </c>
      <c r="E2" s="6" t="s">
        <v>7</v>
      </c>
      <c r="F2" s="6" t="s">
        <v>8</v>
      </c>
    </row>
    <row r="3" spans="1:6" s="1" customFormat="1">
      <c r="A3" s="3" t="s">
        <v>4</v>
      </c>
      <c r="B3" s="6" t="s">
        <v>2</v>
      </c>
      <c r="C3" s="6" t="s">
        <v>3</v>
      </c>
      <c r="D3" s="2" t="s">
        <v>6</v>
      </c>
      <c r="E3" s="7" t="s">
        <v>9</v>
      </c>
      <c r="F3" s="7" t="s">
        <v>10</v>
      </c>
    </row>
    <row r="4" spans="1:6" s="1" customFormat="1">
      <c r="A4" s="3">
        <v>0</v>
      </c>
      <c r="B4" s="8">
        <f>Stochastic!B4</f>
        <v>20</v>
      </c>
      <c r="C4" s="8">
        <f>Stochastic!C4</f>
        <v>10</v>
      </c>
      <c r="D4" s="3">
        <v>0.1</v>
      </c>
      <c r="E4" s="10">
        <f>$B$2*C4*D4</f>
        <v>0.5</v>
      </c>
      <c r="F4" s="10">
        <f>$C$2*B4*D4</f>
        <v>0.2</v>
      </c>
    </row>
    <row r="5" spans="1:6" s="11" customFormat="1">
      <c r="A5" s="9">
        <f>A4+D4</f>
        <v>0.1</v>
      </c>
      <c r="B5" s="10">
        <f>B4-MIN(E4,B4)</f>
        <v>19.5</v>
      </c>
      <c r="C5" s="10">
        <f>C4-MIN(F4,C4)</f>
        <v>9.8000000000000007</v>
      </c>
      <c r="D5" s="9">
        <f>D4</f>
        <v>0.1</v>
      </c>
      <c r="E5" s="10">
        <f t="shared" ref="E5:E68" si="0">$B$2*C5*D5</f>
        <v>0.49000000000000005</v>
      </c>
      <c r="F5" s="10">
        <f t="shared" ref="F5:F68" si="1">$C$2*B5*D5</f>
        <v>0.19500000000000003</v>
      </c>
    </row>
    <row r="6" spans="1:6" s="11" customFormat="1">
      <c r="A6" s="9">
        <f t="shared" ref="A6:A31" si="2">A5+D5</f>
        <v>0.2</v>
      </c>
      <c r="B6" s="10">
        <f>B5-MIN(E5,B5)</f>
        <v>19.010000000000002</v>
      </c>
      <c r="C6" s="10">
        <f>C5-MIN(F5,C5)</f>
        <v>9.6050000000000004</v>
      </c>
      <c r="D6" s="9">
        <f t="shared" ref="D6:D31" si="3">D5</f>
        <v>0.1</v>
      </c>
      <c r="E6" s="10">
        <f t="shared" si="0"/>
        <v>0.48025000000000007</v>
      </c>
      <c r="F6" s="10">
        <f t="shared" si="1"/>
        <v>0.19010000000000005</v>
      </c>
    </row>
    <row r="7" spans="1:6" s="11" customFormat="1">
      <c r="A7" s="9">
        <f t="shared" si="2"/>
        <v>0.30000000000000004</v>
      </c>
      <c r="B7" s="10">
        <f t="shared" ref="B7:B69" si="4">B6-MIN(E6,B6)</f>
        <v>18.52975</v>
      </c>
      <c r="C7" s="10">
        <f t="shared" ref="C7:C69" si="5">C6-MIN(F6,C6)</f>
        <v>9.4149000000000012</v>
      </c>
      <c r="D7" s="9">
        <f t="shared" si="3"/>
        <v>0.1</v>
      </c>
      <c r="E7" s="10">
        <f t="shared" si="0"/>
        <v>0.47074500000000008</v>
      </c>
      <c r="F7" s="10">
        <f t="shared" si="1"/>
        <v>0.1852975</v>
      </c>
    </row>
    <row r="8" spans="1:6" s="11" customFormat="1">
      <c r="A8" s="9">
        <f t="shared" si="2"/>
        <v>0.4</v>
      </c>
      <c r="B8" s="10">
        <f t="shared" si="4"/>
        <v>18.059004999999999</v>
      </c>
      <c r="C8" s="10">
        <f t="shared" si="5"/>
        <v>9.2296025000000004</v>
      </c>
      <c r="D8" s="9">
        <f t="shared" si="3"/>
        <v>0.1</v>
      </c>
      <c r="E8" s="10">
        <f t="shared" si="0"/>
        <v>0.46148012500000002</v>
      </c>
      <c r="F8" s="10">
        <f t="shared" si="1"/>
        <v>0.18059005</v>
      </c>
    </row>
    <row r="9" spans="1:6" s="11" customFormat="1">
      <c r="A9" s="9">
        <f t="shared" si="2"/>
        <v>0.5</v>
      </c>
      <c r="B9" s="10">
        <f t="shared" si="4"/>
        <v>17.597524874999998</v>
      </c>
      <c r="C9" s="10">
        <f t="shared" si="5"/>
        <v>9.0490124500000011</v>
      </c>
      <c r="D9" s="9">
        <f t="shared" si="3"/>
        <v>0.1</v>
      </c>
      <c r="E9" s="10">
        <f t="shared" si="0"/>
        <v>0.45245062250000007</v>
      </c>
      <c r="F9" s="10">
        <f t="shared" si="1"/>
        <v>0.17597524875000001</v>
      </c>
    </row>
    <row r="10" spans="1:6" s="11" customFormat="1">
      <c r="A10" s="9">
        <f t="shared" si="2"/>
        <v>0.6</v>
      </c>
      <c r="B10" s="10">
        <f t="shared" si="4"/>
        <v>17.145074252499999</v>
      </c>
      <c r="C10" s="10">
        <f t="shared" si="5"/>
        <v>8.8730372012500016</v>
      </c>
      <c r="D10" s="9">
        <f t="shared" si="3"/>
        <v>0.1</v>
      </c>
      <c r="E10" s="10">
        <f t="shared" si="0"/>
        <v>0.44365186006250013</v>
      </c>
      <c r="F10" s="10">
        <f t="shared" si="1"/>
        <v>0.17145074252500001</v>
      </c>
    </row>
    <row r="11" spans="1:6" s="11" customFormat="1">
      <c r="A11" s="9">
        <f t="shared" si="2"/>
        <v>0.7</v>
      </c>
      <c r="B11" s="10">
        <f t="shared" si="4"/>
        <v>16.7014223924375</v>
      </c>
      <c r="C11" s="10">
        <f t="shared" si="5"/>
        <v>8.7015864587250018</v>
      </c>
      <c r="D11" s="9">
        <f t="shared" si="3"/>
        <v>0.1</v>
      </c>
      <c r="E11" s="10">
        <f t="shared" si="0"/>
        <v>0.43507932293625012</v>
      </c>
      <c r="F11" s="10">
        <f t="shared" si="1"/>
        <v>0.16701422392437504</v>
      </c>
    </row>
    <row r="12" spans="1:6" s="11" customFormat="1">
      <c r="A12" s="9">
        <f t="shared" si="2"/>
        <v>0.79999999999999993</v>
      </c>
      <c r="B12" s="10">
        <f t="shared" si="4"/>
        <v>16.26634306950125</v>
      </c>
      <c r="C12" s="10">
        <f t="shared" si="5"/>
        <v>8.5345722348006277</v>
      </c>
      <c r="D12" s="9">
        <f t="shared" si="3"/>
        <v>0.1</v>
      </c>
      <c r="E12" s="10">
        <f t="shared" si="0"/>
        <v>0.4267286117400314</v>
      </c>
      <c r="F12" s="10">
        <f t="shared" si="1"/>
        <v>0.16266343069501252</v>
      </c>
    </row>
    <row r="13" spans="1:6" s="11" customFormat="1">
      <c r="A13" s="9">
        <f t="shared" si="2"/>
        <v>0.89999999999999991</v>
      </c>
      <c r="B13" s="10">
        <f t="shared" si="4"/>
        <v>15.839614457761218</v>
      </c>
      <c r="C13" s="10">
        <f t="shared" si="5"/>
        <v>8.3719088041056153</v>
      </c>
      <c r="D13" s="9">
        <f t="shared" si="3"/>
        <v>0.1</v>
      </c>
      <c r="E13" s="10">
        <f t="shared" si="0"/>
        <v>0.41859544020528078</v>
      </c>
      <c r="F13" s="10">
        <f t="shared" si="1"/>
        <v>0.1583961445776122</v>
      </c>
    </row>
    <row r="14" spans="1:6" s="11" customFormat="1">
      <c r="A14" s="9">
        <f t="shared" si="2"/>
        <v>0.99999999999999989</v>
      </c>
      <c r="B14" s="10">
        <f t="shared" si="4"/>
        <v>15.421019017555938</v>
      </c>
      <c r="C14" s="10">
        <f t="shared" si="5"/>
        <v>8.2135126595280035</v>
      </c>
      <c r="D14" s="9">
        <f t="shared" si="3"/>
        <v>0.1</v>
      </c>
      <c r="E14" s="10">
        <f t="shared" si="0"/>
        <v>0.4106756329764002</v>
      </c>
      <c r="F14" s="10">
        <f t="shared" si="1"/>
        <v>0.1542101901755594</v>
      </c>
    </row>
    <row r="15" spans="1:6" s="11" customFormat="1">
      <c r="A15" s="9">
        <f t="shared" si="2"/>
        <v>1.0999999999999999</v>
      </c>
      <c r="B15" s="10">
        <f t="shared" si="4"/>
        <v>15.010343384579539</v>
      </c>
      <c r="C15" s="10">
        <f t="shared" si="5"/>
        <v>8.0593024693524438</v>
      </c>
      <c r="D15" s="9">
        <f t="shared" si="3"/>
        <v>0.1</v>
      </c>
      <c r="E15" s="10">
        <f t="shared" si="0"/>
        <v>0.4029651234676222</v>
      </c>
      <c r="F15" s="10">
        <f t="shared" si="1"/>
        <v>0.15010343384579539</v>
      </c>
    </row>
    <row r="16" spans="1:6" s="11" customFormat="1">
      <c r="A16" s="9">
        <f t="shared" si="2"/>
        <v>1.2</v>
      </c>
      <c r="B16" s="10">
        <f t="shared" si="4"/>
        <v>14.607378261111917</v>
      </c>
      <c r="C16" s="10">
        <f t="shared" si="5"/>
        <v>7.9091990355066484</v>
      </c>
      <c r="D16" s="9">
        <f t="shared" si="3"/>
        <v>0.1</v>
      </c>
      <c r="E16" s="10">
        <f t="shared" si="0"/>
        <v>0.39545995177533244</v>
      </c>
      <c r="F16" s="10">
        <f t="shared" si="1"/>
        <v>0.1460737826111192</v>
      </c>
    </row>
    <row r="17" spans="1:6" s="11" customFormat="1">
      <c r="A17" s="9">
        <f t="shared" si="2"/>
        <v>1.3</v>
      </c>
      <c r="B17" s="10">
        <f t="shared" si="4"/>
        <v>14.211918309336584</v>
      </c>
      <c r="C17" s="10">
        <f t="shared" si="5"/>
        <v>7.763125252895529</v>
      </c>
      <c r="D17" s="9">
        <f t="shared" si="3"/>
        <v>0.1</v>
      </c>
      <c r="E17" s="10">
        <f t="shared" si="0"/>
        <v>0.38815626264477648</v>
      </c>
      <c r="F17" s="10">
        <f t="shared" si="1"/>
        <v>0.14211918309336585</v>
      </c>
    </row>
    <row r="18" spans="1:6" s="11" customFormat="1">
      <c r="A18" s="9">
        <f t="shared" si="2"/>
        <v>1.4000000000000001</v>
      </c>
      <c r="B18" s="10">
        <f t="shared" si="4"/>
        <v>13.823762046691808</v>
      </c>
      <c r="C18" s="10">
        <f t="shared" si="5"/>
        <v>7.6210060698021636</v>
      </c>
      <c r="D18" s="9">
        <f t="shared" si="3"/>
        <v>0.1</v>
      </c>
      <c r="E18" s="10">
        <f t="shared" si="0"/>
        <v>0.38105030349010821</v>
      </c>
      <c r="F18" s="10">
        <f t="shared" si="1"/>
        <v>0.13823762046691809</v>
      </c>
    </row>
    <row r="19" spans="1:6" s="11" customFormat="1">
      <c r="A19" s="9">
        <f t="shared" si="2"/>
        <v>1.5000000000000002</v>
      </c>
      <c r="B19" s="10">
        <f t="shared" si="4"/>
        <v>13.4427117432017</v>
      </c>
      <c r="C19" s="10">
        <f t="shared" si="5"/>
        <v>7.4827684493352455</v>
      </c>
      <c r="D19" s="9">
        <f t="shared" si="3"/>
        <v>0.1</v>
      </c>
      <c r="E19" s="10">
        <f t="shared" si="0"/>
        <v>0.37413842246676232</v>
      </c>
      <c r="F19" s="10">
        <f t="shared" si="1"/>
        <v>0.13442711743201702</v>
      </c>
    </row>
    <row r="20" spans="1:6" s="11" customFormat="1">
      <c r="A20" s="9">
        <f t="shared" si="2"/>
        <v>1.6000000000000003</v>
      </c>
      <c r="B20" s="10">
        <f t="shared" si="4"/>
        <v>13.068573320734938</v>
      </c>
      <c r="C20" s="10">
        <f t="shared" si="5"/>
        <v>7.3483413319032289</v>
      </c>
      <c r="D20" s="9">
        <f t="shared" si="3"/>
        <v>0.1</v>
      </c>
      <c r="E20" s="10">
        <f t="shared" si="0"/>
        <v>0.36741706659516149</v>
      </c>
      <c r="F20" s="10">
        <f t="shared" si="1"/>
        <v>0.13068573320734941</v>
      </c>
    </row>
    <row r="21" spans="1:6" s="11" customFormat="1">
      <c r="A21" s="9">
        <f t="shared" si="2"/>
        <v>1.7000000000000004</v>
      </c>
      <c r="B21" s="10">
        <f t="shared" si="4"/>
        <v>12.701156254139777</v>
      </c>
      <c r="C21" s="10">
        <f t="shared" si="5"/>
        <v>7.2176555986958792</v>
      </c>
      <c r="D21" s="9">
        <f t="shared" si="3"/>
        <v>0.1</v>
      </c>
      <c r="E21" s="10">
        <f t="shared" si="0"/>
        <v>0.36088277993479401</v>
      </c>
      <c r="F21" s="10">
        <f t="shared" si="1"/>
        <v>0.12701156254139778</v>
      </c>
    </row>
    <row r="22" spans="1:6" s="11" customFormat="1">
      <c r="A22" s="9">
        <f t="shared" si="2"/>
        <v>1.8000000000000005</v>
      </c>
      <c r="B22" s="10">
        <f t="shared" si="4"/>
        <v>12.340273474204983</v>
      </c>
      <c r="C22" s="10">
        <f t="shared" si="5"/>
        <v>7.0906440361544814</v>
      </c>
      <c r="D22" s="9">
        <f t="shared" si="3"/>
        <v>0.1</v>
      </c>
      <c r="E22" s="10">
        <f t="shared" si="0"/>
        <v>0.3545322018077241</v>
      </c>
      <c r="F22" s="10">
        <f t="shared" si="1"/>
        <v>0.12340273474204984</v>
      </c>
    </row>
    <row r="23" spans="1:6" s="11" customFormat="1">
      <c r="A23" s="9">
        <f t="shared" si="2"/>
        <v>1.9000000000000006</v>
      </c>
      <c r="B23" s="10">
        <f t="shared" si="4"/>
        <v>11.985741272397259</v>
      </c>
      <c r="C23" s="10">
        <f t="shared" si="5"/>
        <v>6.9672413014124315</v>
      </c>
      <c r="D23" s="9">
        <f t="shared" si="3"/>
        <v>0.1</v>
      </c>
      <c r="E23" s="10">
        <f t="shared" si="0"/>
        <v>0.34836206507062162</v>
      </c>
      <c r="F23" s="10">
        <f t="shared" si="1"/>
        <v>0.1198574127239726</v>
      </c>
    </row>
    <row r="24" spans="1:6" s="11" customFormat="1">
      <c r="A24" s="9">
        <f t="shared" si="2"/>
        <v>2.0000000000000004</v>
      </c>
      <c r="B24" s="10">
        <f t="shared" si="4"/>
        <v>11.637379207326639</v>
      </c>
      <c r="C24" s="10">
        <f t="shared" si="5"/>
        <v>6.8473838886884586</v>
      </c>
      <c r="D24" s="9">
        <f t="shared" si="3"/>
        <v>0.1</v>
      </c>
      <c r="E24" s="10">
        <f t="shared" si="0"/>
        <v>0.34236919443442293</v>
      </c>
      <c r="F24" s="10">
        <f t="shared" si="1"/>
        <v>0.1163737920732664</v>
      </c>
    </row>
    <row r="25" spans="1:6" s="11" customFormat="1">
      <c r="A25" s="9">
        <f t="shared" si="2"/>
        <v>2.1000000000000005</v>
      </c>
      <c r="B25" s="10">
        <f t="shared" si="4"/>
        <v>11.295010012892217</v>
      </c>
      <c r="C25" s="10">
        <f t="shared" si="5"/>
        <v>6.7310100966151918</v>
      </c>
      <c r="D25" s="9">
        <f t="shared" si="3"/>
        <v>0.1</v>
      </c>
      <c r="E25" s="10">
        <f t="shared" si="0"/>
        <v>0.3365505048307596</v>
      </c>
      <c r="F25" s="10">
        <f t="shared" si="1"/>
        <v>0.11295010012892218</v>
      </c>
    </row>
    <row r="26" spans="1:6" s="11" customFormat="1">
      <c r="A26" s="9">
        <f t="shared" si="2"/>
        <v>2.2000000000000006</v>
      </c>
      <c r="B26" s="10">
        <f t="shared" si="4"/>
        <v>10.958459508061457</v>
      </c>
      <c r="C26" s="10">
        <f t="shared" si="5"/>
        <v>6.6180599964862692</v>
      </c>
      <c r="D26" s="9">
        <f t="shared" si="3"/>
        <v>0.1</v>
      </c>
      <c r="E26" s="10">
        <f t="shared" si="0"/>
        <v>0.33090299982431348</v>
      </c>
      <c r="F26" s="10">
        <f t="shared" si="1"/>
        <v>0.10958459508061458</v>
      </c>
    </row>
    <row r="27" spans="1:6" s="11" customFormat="1">
      <c r="A27" s="9">
        <f t="shared" si="2"/>
        <v>2.3000000000000007</v>
      </c>
      <c r="B27" s="10">
        <f t="shared" si="4"/>
        <v>10.627556508237143</v>
      </c>
      <c r="C27" s="10">
        <f t="shared" si="5"/>
        <v>6.5084754014056543</v>
      </c>
      <c r="D27" s="9">
        <f t="shared" si="3"/>
        <v>0.1</v>
      </c>
      <c r="E27" s="10">
        <f t="shared" si="0"/>
        <v>0.32542377007028273</v>
      </c>
      <c r="F27" s="10">
        <f t="shared" si="1"/>
        <v>0.10627556508237145</v>
      </c>
    </row>
    <row r="28" spans="1:6" s="11" customFormat="1">
      <c r="A28" s="9">
        <f t="shared" si="2"/>
        <v>2.4000000000000008</v>
      </c>
      <c r="B28" s="10">
        <f t="shared" si="4"/>
        <v>10.302132738166861</v>
      </c>
      <c r="C28" s="10">
        <f t="shared" si="5"/>
        <v>6.402199836323283</v>
      </c>
      <c r="D28" s="9">
        <f t="shared" si="3"/>
        <v>0.1</v>
      </c>
      <c r="E28" s="10">
        <f t="shared" si="0"/>
        <v>0.32010999181616417</v>
      </c>
      <c r="F28" s="10">
        <f t="shared" si="1"/>
        <v>0.10302132738166864</v>
      </c>
    </row>
    <row r="29" spans="1:6" s="11" customFormat="1">
      <c r="A29" s="9">
        <f t="shared" si="2"/>
        <v>2.5000000000000009</v>
      </c>
      <c r="B29" s="10">
        <f t="shared" si="4"/>
        <v>9.9820227463506974</v>
      </c>
      <c r="C29" s="10">
        <f t="shared" si="5"/>
        <v>6.2991785089416146</v>
      </c>
      <c r="D29" s="9">
        <f t="shared" si="3"/>
        <v>0.1</v>
      </c>
      <c r="E29" s="10">
        <f t="shared" si="0"/>
        <v>0.31495892544708076</v>
      </c>
      <c r="F29" s="10">
        <f t="shared" si="1"/>
        <v>9.9820227463506994E-2</v>
      </c>
    </row>
    <row r="30" spans="1:6" s="11" customFormat="1">
      <c r="A30" s="9">
        <f t="shared" si="2"/>
        <v>2.600000000000001</v>
      </c>
      <c r="B30" s="10">
        <f t="shared" si="4"/>
        <v>9.6670638209036159</v>
      </c>
      <c r="C30" s="10">
        <f t="shared" si="5"/>
        <v>6.1993582814781076</v>
      </c>
      <c r="D30" s="9">
        <f t="shared" si="3"/>
        <v>0.1</v>
      </c>
      <c r="E30" s="10">
        <f t="shared" si="0"/>
        <v>0.30996791407390539</v>
      </c>
      <c r="F30" s="10">
        <f t="shared" si="1"/>
        <v>9.6670638209036167E-2</v>
      </c>
    </row>
    <row r="31" spans="1:6" s="11" customFormat="1">
      <c r="A31" s="9">
        <f t="shared" si="2"/>
        <v>2.7000000000000011</v>
      </c>
      <c r="B31" s="10">
        <f t="shared" si="4"/>
        <v>9.357095906829711</v>
      </c>
      <c r="C31" s="10">
        <f t="shared" si="5"/>
        <v>6.1026876432690713</v>
      </c>
      <c r="D31" s="9">
        <f t="shared" si="3"/>
        <v>0.1</v>
      </c>
      <c r="E31" s="10">
        <f t="shared" si="0"/>
        <v>0.30513438216345357</v>
      </c>
      <c r="F31" s="10">
        <f t="shared" si="1"/>
        <v>9.3570959068297113E-2</v>
      </c>
    </row>
    <row r="32" spans="1:6" s="11" customFormat="1">
      <c r="A32" s="9">
        <f t="shared" ref="A32:A41" si="6">A31+D31</f>
        <v>2.8000000000000012</v>
      </c>
      <c r="B32" s="10">
        <f t="shared" si="4"/>
        <v>9.0519615246662575</v>
      </c>
      <c r="C32" s="10">
        <f t="shared" si="5"/>
        <v>6.0091166842007739</v>
      </c>
      <c r="D32" s="9">
        <f t="shared" ref="D32:D41" si="7">D31</f>
        <v>0.1</v>
      </c>
      <c r="E32" s="10">
        <f t="shared" si="0"/>
        <v>0.30045583421003874</v>
      </c>
      <c r="F32" s="10">
        <f t="shared" si="1"/>
        <v>9.0519615246662577E-2</v>
      </c>
    </row>
    <row r="33" spans="1:6">
      <c r="A33" s="9">
        <f t="shared" si="6"/>
        <v>2.9000000000000012</v>
      </c>
      <c r="B33" s="10">
        <f t="shared" si="4"/>
        <v>8.7515056904562183</v>
      </c>
      <c r="C33" s="10">
        <f t="shared" si="5"/>
        <v>5.918597068954111</v>
      </c>
      <c r="D33" s="9">
        <f t="shared" si="7"/>
        <v>0.1</v>
      </c>
      <c r="E33" s="10">
        <f t="shared" si="0"/>
        <v>0.29592985344770556</v>
      </c>
      <c r="F33" s="10">
        <f t="shared" si="1"/>
        <v>8.7515056904562183E-2</v>
      </c>
    </row>
    <row r="34" spans="1:6">
      <c r="A34" s="9">
        <f t="shared" si="6"/>
        <v>3.0000000000000013</v>
      </c>
      <c r="B34" s="10">
        <f t="shared" si="4"/>
        <v>8.4555758370085119</v>
      </c>
      <c r="C34" s="10">
        <f t="shared" si="5"/>
        <v>5.8310820120495492</v>
      </c>
      <c r="D34" s="9">
        <f t="shared" si="7"/>
        <v>0.1</v>
      </c>
      <c r="E34" s="10">
        <f t="shared" si="0"/>
        <v>0.2915541006024775</v>
      </c>
      <c r="F34" s="10">
        <f t="shared" si="1"/>
        <v>8.4555758370085124E-2</v>
      </c>
    </row>
    <row r="35" spans="1:6">
      <c r="A35" s="9">
        <f t="shared" si="6"/>
        <v>3.1000000000000014</v>
      </c>
      <c r="B35" s="10">
        <f t="shared" si="4"/>
        <v>8.1640217364060348</v>
      </c>
      <c r="C35" s="10">
        <f t="shared" si="5"/>
        <v>5.7465262536794643</v>
      </c>
      <c r="D35" s="9">
        <f t="shared" si="7"/>
        <v>0.1</v>
      </c>
      <c r="E35" s="10">
        <f t="shared" si="0"/>
        <v>0.28732631268397324</v>
      </c>
      <c r="F35" s="10">
        <f t="shared" si="1"/>
        <v>8.1640217364060352E-2</v>
      </c>
    </row>
    <row r="36" spans="1:6">
      <c r="A36" s="9">
        <f t="shared" si="6"/>
        <v>3.2000000000000015</v>
      </c>
      <c r="B36" s="10">
        <f t="shared" si="4"/>
        <v>7.8766954237220617</v>
      </c>
      <c r="C36" s="10">
        <f t="shared" si="5"/>
        <v>5.6648860363154041</v>
      </c>
      <c r="D36" s="9">
        <f t="shared" si="7"/>
        <v>0.1</v>
      </c>
      <c r="E36" s="10">
        <f t="shared" si="0"/>
        <v>0.28324430181577021</v>
      </c>
      <c r="F36" s="10">
        <f t="shared" si="1"/>
        <v>7.8766954237220632E-2</v>
      </c>
    </row>
    <row r="37" spans="1:6">
      <c r="A37" s="9">
        <f t="shared" si="6"/>
        <v>3.3000000000000016</v>
      </c>
      <c r="B37" s="10">
        <f t="shared" si="4"/>
        <v>7.5934511219062912</v>
      </c>
      <c r="C37" s="10">
        <f t="shared" si="5"/>
        <v>5.5861190820781834</v>
      </c>
      <c r="D37" s="9">
        <f t="shared" si="7"/>
        <v>0.1</v>
      </c>
      <c r="E37" s="10">
        <f t="shared" si="0"/>
        <v>0.27930595410390918</v>
      </c>
      <c r="F37" s="10">
        <f t="shared" si="1"/>
        <v>7.5934511219062917E-2</v>
      </c>
    </row>
    <row r="38" spans="1:6">
      <c r="A38" s="9">
        <f t="shared" si="6"/>
        <v>3.4000000000000017</v>
      </c>
      <c r="B38" s="10">
        <f t="shared" si="4"/>
        <v>7.3141451678023817</v>
      </c>
      <c r="C38" s="10">
        <f t="shared" si="5"/>
        <v>5.5101845708591206</v>
      </c>
      <c r="D38" s="9">
        <f t="shared" si="7"/>
        <v>0.1</v>
      </c>
      <c r="E38" s="10">
        <f t="shared" si="0"/>
        <v>0.27550922854295606</v>
      </c>
      <c r="F38" s="10">
        <f t="shared" si="1"/>
        <v>7.3141451678023814E-2</v>
      </c>
    </row>
    <row r="39" spans="1:6">
      <c r="A39" s="9">
        <f t="shared" si="6"/>
        <v>3.5000000000000018</v>
      </c>
      <c r="B39" s="10">
        <f t="shared" si="4"/>
        <v>7.038635939259426</v>
      </c>
      <c r="C39" s="10">
        <f t="shared" si="5"/>
        <v>5.4370431191810971</v>
      </c>
      <c r="D39" s="9">
        <f t="shared" si="7"/>
        <v>0.1</v>
      </c>
      <c r="E39" s="10">
        <f t="shared" si="0"/>
        <v>0.27185215595905488</v>
      </c>
      <c r="F39" s="10">
        <f t="shared" si="1"/>
        <v>7.0386359392594272E-2</v>
      </c>
    </row>
    <row r="40" spans="1:6">
      <c r="A40" s="9">
        <f t="shared" si="6"/>
        <v>3.6000000000000019</v>
      </c>
      <c r="B40" s="10">
        <f t="shared" si="4"/>
        <v>6.7667837833003714</v>
      </c>
      <c r="C40" s="10">
        <f t="shared" si="5"/>
        <v>5.3666567597885031</v>
      </c>
      <c r="D40" s="9">
        <f t="shared" si="7"/>
        <v>0.1</v>
      </c>
      <c r="E40" s="10">
        <f t="shared" si="0"/>
        <v>0.26833283798942514</v>
      </c>
      <c r="F40" s="10">
        <f t="shared" si="1"/>
        <v>6.7667837833003716E-2</v>
      </c>
    </row>
    <row r="41" spans="1:6">
      <c r="A41" s="9">
        <f t="shared" si="6"/>
        <v>3.700000000000002</v>
      </c>
      <c r="B41" s="10">
        <f t="shared" si="4"/>
        <v>6.498450945310946</v>
      </c>
      <c r="C41" s="10">
        <f t="shared" si="5"/>
        <v>5.2989889219554991</v>
      </c>
      <c r="D41" s="9">
        <f t="shared" si="7"/>
        <v>0.1</v>
      </c>
      <c r="E41" s="10">
        <f t="shared" si="0"/>
        <v>0.26494944609777499</v>
      </c>
      <c r="F41" s="10">
        <f t="shared" si="1"/>
        <v>6.4984509453109462E-2</v>
      </c>
    </row>
    <row r="42" spans="1:6">
      <c r="A42" s="9">
        <f t="shared" ref="A42:A60" si="8">A41+D41</f>
        <v>3.800000000000002</v>
      </c>
      <c r="B42" s="10">
        <f t="shared" si="4"/>
        <v>6.2335014992131708</v>
      </c>
      <c r="C42" s="10">
        <f t="shared" si="5"/>
        <v>5.2340044125023892</v>
      </c>
      <c r="D42" s="9">
        <f t="shared" ref="D42:D60" si="9">D41</f>
        <v>0.1</v>
      </c>
      <c r="E42" s="10">
        <f t="shared" si="0"/>
        <v>0.2617002206251195</v>
      </c>
      <c r="F42" s="10">
        <f t="shared" si="1"/>
        <v>6.2335014992131711E-2</v>
      </c>
    </row>
    <row r="43" spans="1:6">
      <c r="A43" s="9">
        <f t="shared" si="8"/>
        <v>3.9000000000000021</v>
      </c>
      <c r="B43" s="10">
        <f t="shared" si="4"/>
        <v>5.9718012785880514</v>
      </c>
      <c r="C43" s="10">
        <f t="shared" si="5"/>
        <v>5.1716693975102572</v>
      </c>
      <c r="D43" s="9">
        <f t="shared" si="9"/>
        <v>0.1</v>
      </c>
      <c r="E43" s="10">
        <f t="shared" si="0"/>
        <v>0.25858346987551289</v>
      </c>
      <c r="F43" s="10">
        <f t="shared" si="1"/>
        <v>5.9718012785880514E-2</v>
      </c>
    </row>
    <row r="44" spans="1:6">
      <c r="A44" s="9">
        <f t="shared" si="8"/>
        <v>4.0000000000000018</v>
      </c>
      <c r="B44" s="10">
        <f t="shared" si="4"/>
        <v>5.7132178087125389</v>
      </c>
      <c r="C44" s="10">
        <f t="shared" si="5"/>
        <v>5.1119513847243763</v>
      </c>
      <c r="D44" s="9">
        <f t="shared" si="9"/>
        <v>0.1</v>
      </c>
      <c r="E44" s="10">
        <f t="shared" si="0"/>
        <v>0.25559756923621885</v>
      </c>
      <c r="F44" s="10">
        <f t="shared" si="1"/>
        <v>5.7132178087125396E-2</v>
      </c>
    </row>
    <row r="45" spans="1:6">
      <c r="A45" s="9">
        <f t="shared" si="8"/>
        <v>4.1000000000000014</v>
      </c>
      <c r="B45" s="10">
        <f t="shared" si="4"/>
        <v>5.45762023947632</v>
      </c>
      <c r="C45" s="10">
        <f t="shared" si="5"/>
        <v>5.0548192066372506</v>
      </c>
      <c r="D45" s="9">
        <f t="shared" si="9"/>
        <v>0.1</v>
      </c>
      <c r="E45" s="10">
        <f t="shared" si="0"/>
        <v>0.25274096033186255</v>
      </c>
      <c r="F45" s="10">
        <f t="shared" si="1"/>
        <v>5.4576202394763212E-2</v>
      </c>
    </row>
    <row r="46" spans="1:6">
      <c r="A46" s="9">
        <f t="shared" si="8"/>
        <v>4.2000000000000011</v>
      </c>
      <c r="B46" s="10">
        <f t="shared" si="4"/>
        <v>5.2048792791444578</v>
      </c>
      <c r="C46" s="10">
        <f t="shared" si="5"/>
        <v>5.0002430042424875</v>
      </c>
      <c r="D46" s="9">
        <f t="shared" si="9"/>
        <v>0.1</v>
      </c>
      <c r="E46" s="10">
        <f t="shared" si="0"/>
        <v>0.25001215021212436</v>
      </c>
      <c r="F46" s="10">
        <f t="shared" si="1"/>
        <v>5.204879279144458E-2</v>
      </c>
    </row>
    <row r="47" spans="1:6">
      <c r="A47" s="9">
        <f t="shared" si="8"/>
        <v>4.3000000000000007</v>
      </c>
      <c r="B47" s="10">
        <f t="shared" si="4"/>
        <v>4.9548671289323334</v>
      </c>
      <c r="C47" s="10">
        <f t="shared" si="5"/>
        <v>4.9481942114510433</v>
      </c>
      <c r="D47" s="9">
        <f t="shared" si="9"/>
        <v>0.1</v>
      </c>
      <c r="E47" s="10">
        <f t="shared" si="0"/>
        <v>0.24740971057255218</v>
      </c>
      <c r="F47" s="10">
        <f t="shared" si="1"/>
        <v>4.9548671289323339E-2</v>
      </c>
    </row>
    <row r="48" spans="1:6">
      <c r="A48" s="9">
        <f t="shared" si="8"/>
        <v>4.4000000000000004</v>
      </c>
      <c r="B48" s="10">
        <f t="shared" si="4"/>
        <v>4.7074574183597813</v>
      </c>
      <c r="C48" s="10">
        <f t="shared" si="5"/>
        <v>4.8986455401617199</v>
      </c>
      <c r="D48" s="9">
        <f t="shared" si="9"/>
        <v>0.1</v>
      </c>
      <c r="E48" s="10">
        <f t="shared" si="0"/>
        <v>0.24493227700808601</v>
      </c>
      <c r="F48" s="10">
        <f t="shared" si="1"/>
        <v>4.7074574183597818E-2</v>
      </c>
    </row>
    <row r="49" spans="1:6">
      <c r="A49" s="9">
        <f t="shared" si="8"/>
        <v>4.5</v>
      </c>
      <c r="B49" s="10">
        <f t="shared" si="4"/>
        <v>4.4625251413516951</v>
      </c>
      <c r="C49" s="10">
        <f t="shared" si="5"/>
        <v>4.8515709659781221</v>
      </c>
      <c r="D49" s="9">
        <f t="shared" si="9"/>
        <v>0.1</v>
      </c>
      <c r="E49" s="10">
        <f t="shared" si="0"/>
        <v>0.24257854829890613</v>
      </c>
      <c r="F49" s="10">
        <f t="shared" si="1"/>
        <v>4.4625251413516955E-2</v>
      </c>
    </row>
    <row r="50" spans="1:6">
      <c r="A50" s="9">
        <f t="shared" si="8"/>
        <v>4.5999999999999996</v>
      </c>
      <c r="B50" s="10">
        <f t="shared" si="4"/>
        <v>4.2199465930527893</v>
      </c>
      <c r="C50" s="10">
        <f t="shared" si="5"/>
        <v>4.8069457145646055</v>
      </c>
      <c r="D50" s="9">
        <f t="shared" si="9"/>
        <v>0.1</v>
      </c>
      <c r="E50" s="10">
        <f t="shared" si="0"/>
        <v>0.24034728572823028</v>
      </c>
      <c r="F50" s="10">
        <f t="shared" si="1"/>
        <v>4.2199465930527896E-2</v>
      </c>
    </row>
    <row r="51" spans="1:6">
      <c r="A51" s="9">
        <f t="shared" si="8"/>
        <v>4.6999999999999993</v>
      </c>
      <c r="B51" s="10">
        <f t="shared" si="4"/>
        <v>3.979599307324559</v>
      </c>
      <c r="C51" s="10">
        <f t="shared" si="5"/>
        <v>4.7647462486340775</v>
      </c>
      <c r="D51" s="9">
        <f t="shared" si="9"/>
        <v>0.1</v>
      </c>
      <c r="E51" s="10">
        <f t="shared" si="0"/>
        <v>0.23823731243170387</v>
      </c>
      <c r="F51" s="10">
        <f t="shared" si="1"/>
        <v>3.9795993073245599E-2</v>
      </c>
    </row>
    <row r="52" spans="1:6">
      <c r="A52" s="9">
        <f t="shared" si="8"/>
        <v>4.7999999999999989</v>
      </c>
      <c r="B52" s="10">
        <f t="shared" si="4"/>
        <v>3.7413619948928551</v>
      </c>
      <c r="C52" s="10">
        <f t="shared" si="5"/>
        <v>4.7249502555608318</v>
      </c>
      <c r="D52" s="9">
        <f t="shared" si="9"/>
        <v>0.1</v>
      </c>
      <c r="E52" s="10">
        <f t="shared" si="0"/>
        <v>0.2362475127780416</v>
      </c>
      <c r="F52" s="10">
        <f t="shared" si="1"/>
        <v>3.7413619948928556E-2</v>
      </c>
    </row>
    <row r="53" spans="1:6">
      <c r="A53" s="9">
        <f t="shared" si="8"/>
        <v>4.8999999999999986</v>
      </c>
      <c r="B53" s="10">
        <f t="shared" si="4"/>
        <v>3.5051144821148137</v>
      </c>
      <c r="C53" s="10">
        <f t="shared" si="5"/>
        <v>4.6875366356119033</v>
      </c>
      <c r="D53" s="9">
        <f t="shared" si="9"/>
        <v>0.1</v>
      </c>
      <c r="E53" s="10">
        <f t="shared" si="0"/>
        <v>0.23437683178059518</v>
      </c>
      <c r="F53" s="10">
        <f t="shared" si="1"/>
        <v>3.5051144821148142E-2</v>
      </c>
    </row>
    <row r="54" spans="1:6">
      <c r="A54" s="9">
        <f t="shared" si="8"/>
        <v>4.9999999999999982</v>
      </c>
      <c r="B54" s="10">
        <f t="shared" si="4"/>
        <v>3.2707376503342185</v>
      </c>
      <c r="C54" s="10">
        <f t="shared" si="5"/>
        <v>4.6524854907907551</v>
      </c>
      <c r="D54" s="9">
        <f t="shared" si="9"/>
        <v>0.1</v>
      </c>
      <c r="E54" s="10">
        <f t="shared" si="0"/>
        <v>0.23262427453953777</v>
      </c>
      <c r="F54" s="10">
        <f t="shared" si="1"/>
        <v>3.2707376503342191E-2</v>
      </c>
    </row>
    <row r="55" spans="1:6">
      <c r="A55" s="9">
        <f t="shared" si="8"/>
        <v>5.0999999999999979</v>
      </c>
      <c r="B55" s="10">
        <f t="shared" si="4"/>
        <v>3.0381133757946808</v>
      </c>
      <c r="C55" s="10">
        <f t="shared" si="5"/>
        <v>4.6197781142874126</v>
      </c>
      <c r="D55" s="9">
        <f t="shared" si="9"/>
        <v>0.1</v>
      </c>
      <c r="E55" s="10">
        <f t="shared" si="0"/>
        <v>0.23098890571437064</v>
      </c>
      <c r="F55" s="10">
        <f t="shared" si="1"/>
        <v>3.0381133757946811E-2</v>
      </c>
    </row>
    <row r="56" spans="1:6">
      <c r="A56" s="9">
        <f t="shared" si="8"/>
        <v>5.1999999999999975</v>
      </c>
      <c r="B56" s="10">
        <f t="shared" si="4"/>
        <v>2.8071244700803102</v>
      </c>
      <c r="C56" s="10">
        <f t="shared" si="5"/>
        <v>4.5893969805294654</v>
      </c>
      <c r="D56" s="9">
        <f t="shared" si="9"/>
        <v>0.1</v>
      </c>
      <c r="E56" s="10">
        <f t="shared" si="0"/>
        <v>0.22946984902647327</v>
      </c>
      <c r="F56" s="10">
        <f t="shared" si="1"/>
        <v>2.8071244700803105E-2</v>
      </c>
    </row>
    <row r="57" spans="1:6">
      <c r="A57" s="9">
        <f t="shared" si="8"/>
        <v>5.2999999999999972</v>
      </c>
      <c r="B57" s="10">
        <f t="shared" si="4"/>
        <v>2.5776546210538367</v>
      </c>
      <c r="C57" s="10">
        <f t="shared" si="5"/>
        <v>4.5613257358286621</v>
      </c>
      <c r="D57" s="9">
        <f t="shared" si="9"/>
        <v>0.1</v>
      </c>
      <c r="E57" s="10">
        <f t="shared" si="0"/>
        <v>0.22806628679143312</v>
      </c>
      <c r="F57" s="10">
        <f t="shared" si="1"/>
        <v>2.5776546210538372E-2</v>
      </c>
    </row>
    <row r="58" spans="1:6">
      <c r="A58" s="9">
        <f t="shared" si="8"/>
        <v>5.3999999999999968</v>
      </c>
      <c r="B58" s="10">
        <f t="shared" si="4"/>
        <v>2.3495883342624038</v>
      </c>
      <c r="C58" s="10">
        <f t="shared" si="5"/>
        <v>4.5355491896181235</v>
      </c>
      <c r="D58" s="9">
        <f t="shared" si="9"/>
        <v>0.1</v>
      </c>
      <c r="E58" s="10">
        <f t="shared" si="0"/>
        <v>0.22677745948090619</v>
      </c>
      <c r="F58" s="10">
        <f t="shared" si="1"/>
        <v>2.3495883342624039E-2</v>
      </c>
    </row>
    <row r="59" spans="1:6">
      <c r="A59" s="9">
        <f t="shared" si="8"/>
        <v>5.4999999999999964</v>
      </c>
      <c r="B59" s="10">
        <f t="shared" si="4"/>
        <v>2.1228108747814978</v>
      </c>
      <c r="C59" s="10">
        <f t="shared" si="5"/>
        <v>4.5120533062754991</v>
      </c>
      <c r="D59" s="9">
        <f t="shared" si="9"/>
        <v>0.1</v>
      </c>
      <c r="E59" s="10">
        <f t="shared" si="0"/>
        <v>0.22560266531377496</v>
      </c>
      <c r="F59" s="10">
        <f t="shared" si="1"/>
        <v>2.1228108747814979E-2</v>
      </c>
    </row>
    <row r="60" spans="1:6">
      <c r="A60" s="9">
        <f t="shared" si="8"/>
        <v>5.5999999999999961</v>
      </c>
      <c r="B60" s="10">
        <f t="shared" si="4"/>
        <v>1.8972082094677227</v>
      </c>
      <c r="C60" s="10">
        <f t="shared" si="5"/>
        <v>4.4908251975276841</v>
      </c>
      <c r="D60" s="9">
        <f t="shared" si="9"/>
        <v>0.1</v>
      </c>
      <c r="E60" s="10">
        <f t="shared" si="0"/>
        <v>0.22454125987638421</v>
      </c>
      <c r="F60" s="10">
        <f t="shared" si="1"/>
        <v>1.8972082094677229E-2</v>
      </c>
    </row>
    <row r="61" spans="1:6">
      <c r="A61" s="9">
        <f t="shared" ref="A61:A69" si="10">A60+D60</f>
        <v>5.6999999999999957</v>
      </c>
      <c r="B61" s="10">
        <f t="shared" si="4"/>
        <v>1.6726669495913384</v>
      </c>
      <c r="C61" s="10">
        <f t="shared" si="5"/>
        <v>4.4718531154330066</v>
      </c>
      <c r="D61" s="9">
        <f t="shared" ref="D61:D69" si="11">D60</f>
        <v>0.1</v>
      </c>
      <c r="E61" s="10">
        <f t="shared" si="0"/>
        <v>0.22359265577165033</v>
      </c>
      <c r="F61" s="10">
        <f t="shared" si="1"/>
        <v>1.6726669495913386E-2</v>
      </c>
    </row>
    <row r="62" spans="1:6">
      <c r="A62" s="9">
        <f t="shared" si="10"/>
        <v>5.7999999999999954</v>
      </c>
      <c r="B62" s="10">
        <f t="shared" si="4"/>
        <v>1.4490742938196881</v>
      </c>
      <c r="C62" s="10">
        <f t="shared" si="5"/>
        <v>4.4551264459370934</v>
      </c>
      <c r="D62" s="9">
        <f t="shared" si="11"/>
        <v>0.1</v>
      </c>
      <c r="E62" s="10">
        <f t="shared" si="0"/>
        <v>0.22275632229685469</v>
      </c>
      <c r="F62" s="10">
        <f t="shared" si="1"/>
        <v>1.4490742938196882E-2</v>
      </c>
    </row>
    <row r="63" spans="1:6">
      <c r="A63" s="9">
        <f t="shared" si="10"/>
        <v>5.899999999999995</v>
      </c>
      <c r="B63" s="10">
        <f t="shared" si="4"/>
        <v>1.2263179715228334</v>
      </c>
      <c r="C63" s="10">
        <f t="shared" si="5"/>
        <v>4.4406357029988968</v>
      </c>
      <c r="D63" s="9">
        <f t="shared" si="11"/>
        <v>0.1</v>
      </c>
      <c r="E63" s="10">
        <f t="shared" si="0"/>
        <v>0.22203178514994484</v>
      </c>
      <c r="F63" s="10">
        <f t="shared" si="1"/>
        <v>1.2263179715228334E-2</v>
      </c>
    </row>
    <row r="64" spans="1:6">
      <c r="A64" s="9">
        <f t="shared" si="10"/>
        <v>5.9999999999999947</v>
      </c>
      <c r="B64" s="10">
        <f t="shared" si="4"/>
        <v>1.0042861863728885</v>
      </c>
      <c r="C64" s="10">
        <f t="shared" si="5"/>
        <v>4.4283725232836684</v>
      </c>
      <c r="D64" s="9">
        <f t="shared" si="11"/>
        <v>0.1</v>
      </c>
      <c r="E64" s="10">
        <f t="shared" si="0"/>
        <v>0.22141862616418342</v>
      </c>
      <c r="F64" s="10">
        <f t="shared" si="1"/>
        <v>1.0042861863728887E-2</v>
      </c>
    </row>
    <row r="65" spans="1:6">
      <c r="A65" s="9">
        <f t="shared" si="10"/>
        <v>6.0999999999999943</v>
      </c>
      <c r="B65" s="10">
        <f t="shared" si="4"/>
        <v>0.78286756020870507</v>
      </c>
      <c r="C65" s="10">
        <f t="shared" si="5"/>
        <v>4.4183296614199392</v>
      </c>
      <c r="D65" s="9">
        <f t="shared" si="11"/>
        <v>0.1</v>
      </c>
      <c r="E65" s="10">
        <f t="shared" si="0"/>
        <v>0.22091648307099698</v>
      </c>
      <c r="F65" s="10">
        <f t="shared" si="1"/>
        <v>7.8286756020870523E-3</v>
      </c>
    </row>
    <row r="66" spans="1:6">
      <c r="A66" s="9">
        <f t="shared" si="10"/>
        <v>6.199999999999994</v>
      </c>
      <c r="B66" s="10">
        <f t="shared" si="4"/>
        <v>0.56195107713770809</v>
      </c>
      <c r="C66" s="10">
        <f t="shared" si="5"/>
        <v>4.4105009858178521</v>
      </c>
      <c r="D66" s="9">
        <f t="shared" si="11"/>
        <v>0.1</v>
      </c>
      <c r="E66" s="10">
        <f t="shared" si="0"/>
        <v>0.22052504929089262</v>
      </c>
      <c r="F66" s="10">
        <f t="shared" si="1"/>
        <v>5.6195107713770814E-3</v>
      </c>
    </row>
    <row r="67" spans="1:6">
      <c r="A67" s="9">
        <f t="shared" si="10"/>
        <v>6.2999999999999936</v>
      </c>
      <c r="B67" s="10">
        <f t="shared" si="4"/>
        <v>0.34142602784681547</v>
      </c>
      <c r="C67" s="10">
        <f t="shared" si="5"/>
        <v>4.4048814750464746</v>
      </c>
      <c r="D67" s="9">
        <f t="shared" si="11"/>
        <v>0.1</v>
      </c>
      <c r="E67" s="10">
        <f t="shared" si="0"/>
        <v>0.22024407375232374</v>
      </c>
      <c r="F67" s="10">
        <f t="shared" si="1"/>
        <v>3.4142602784681553E-3</v>
      </c>
    </row>
    <row r="68" spans="1:6">
      <c r="A68" s="9">
        <f t="shared" si="10"/>
        <v>6.3999999999999932</v>
      </c>
      <c r="B68" s="10">
        <f t="shared" si="4"/>
        <v>0.12118195409449173</v>
      </c>
      <c r="C68" s="10">
        <f t="shared" si="5"/>
        <v>4.4014672147680063</v>
      </c>
      <c r="D68" s="9">
        <f t="shared" si="11"/>
        <v>0.1</v>
      </c>
      <c r="E68" s="10">
        <f t="shared" si="0"/>
        <v>0.22007336073840034</v>
      </c>
      <c r="F68" s="10">
        <f t="shared" si="1"/>
        <v>1.2118195409449176E-3</v>
      </c>
    </row>
    <row r="69" spans="1:6">
      <c r="A69" s="9">
        <f t="shared" si="10"/>
        <v>6.4999999999999929</v>
      </c>
      <c r="B69" s="10">
        <f t="shared" si="4"/>
        <v>0</v>
      </c>
      <c r="C69" s="10">
        <f t="shared" si="5"/>
        <v>4.4002553952270613</v>
      </c>
      <c r="D69" s="9">
        <f t="shared" si="11"/>
        <v>0.1</v>
      </c>
      <c r="E69" s="10">
        <f>$B$2*C69*D69</f>
        <v>0.22001276976135309</v>
      </c>
      <c r="F69" s="10">
        <f>$C$2*B69*D69</f>
        <v>0</v>
      </c>
    </row>
  </sheetData>
  <phoneticPr fontId="2" type="noConversion"/>
  <pageMargins left="0.75" right="0.75" top="1" bottom="1" header="0.5" footer="0.5"/>
  <pageSetup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C1000"/>
  <sheetViews>
    <sheetView topLeftCell="A43" workbookViewId="0">
      <selection activeCell="A1000" sqref="A1000:C1000"/>
    </sheetView>
  </sheetViews>
  <sheetFormatPr defaultRowHeight="12.75"/>
  <sheetData>
    <row r="1" spans="1:3">
      <c r="A1">
        <v>4.5272582666558741</v>
      </c>
      <c r="B1">
        <v>0</v>
      </c>
      <c r="C1">
        <v>8</v>
      </c>
    </row>
    <row r="2" spans="1:3">
      <c r="A2">
        <v>6.5059952279543456</v>
      </c>
      <c r="B2">
        <v>6</v>
      </c>
      <c r="C2">
        <v>0</v>
      </c>
    </row>
    <row r="3" spans="1:3">
      <c r="A3">
        <v>7.7865591500169602</v>
      </c>
      <c r="B3">
        <v>0</v>
      </c>
      <c r="C3">
        <v>2</v>
      </c>
    </row>
    <row r="4" spans="1:3">
      <c r="A4">
        <v>3.6447998309886098</v>
      </c>
      <c r="B4">
        <v>0</v>
      </c>
      <c r="C4">
        <v>8</v>
      </c>
    </row>
    <row r="5" spans="1:3">
      <c r="A5">
        <v>3.4274641781701716</v>
      </c>
      <c r="B5">
        <v>0</v>
      </c>
      <c r="C5">
        <v>9</v>
      </c>
    </row>
    <row r="6" spans="1:3">
      <c r="A6">
        <v>7.0136952615460286</v>
      </c>
      <c r="B6">
        <v>15</v>
      </c>
      <c r="C6">
        <v>0</v>
      </c>
    </row>
    <row r="7" spans="1:3">
      <c r="A7">
        <v>5.164386575201342</v>
      </c>
      <c r="B7">
        <v>17</v>
      </c>
      <c r="C7">
        <v>0</v>
      </c>
    </row>
    <row r="8" spans="1:3">
      <c r="A8">
        <v>3.6234518723456302</v>
      </c>
      <c r="B8">
        <v>0</v>
      </c>
      <c r="C8">
        <v>10</v>
      </c>
    </row>
    <row r="9" spans="1:3">
      <c r="A9">
        <v>3.6011351142434256</v>
      </c>
      <c r="B9">
        <v>0</v>
      </c>
      <c r="C9">
        <v>5</v>
      </c>
    </row>
    <row r="10" spans="1:3">
      <c r="A10">
        <v>4.0775199209223949</v>
      </c>
      <c r="B10">
        <v>0</v>
      </c>
      <c r="C10">
        <v>10</v>
      </c>
    </row>
    <row r="11" spans="1:3">
      <c r="A11">
        <v>3.4896674694864518</v>
      </c>
      <c r="B11">
        <v>0</v>
      </c>
      <c r="C11">
        <v>8</v>
      </c>
    </row>
    <row r="12" spans="1:3">
      <c r="A12">
        <v>5.7497446962887961</v>
      </c>
      <c r="B12">
        <v>0</v>
      </c>
      <c r="C12">
        <v>5</v>
      </c>
    </row>
    <row r="13" spans="1:3">
      <c r="A13">
        <v>6.820596060843001</v>
      </c>
      <c r="B13">
        <v>7</v>
      </c>
      <c r="C13">
        <v>0</v>
      </c>
    </row>
    <row r="14" spans="1:3">
      <c r="A14">
        <v>12.409199885386036</v>
      </c>
      <c r="B14">
        <v>3</v>
      </c>
      <c r="C14">
        <v>0</v>
      </c>
    </row>
    <row r="15" spans="1:3">
      <c r="A15">
        <v>4.9672986324745345</v>
      </c>
      <c r="B15">
        <v>0</v>
      </c>
      <c r="C15">
        <v>6</v>
      </c>
    </row>
    <row r="16" spans="1:3">
      <c r="A16">
        <v>5.5907450606056583</v>
      </c>
      <c r="B16">
        <v>6</v>
      </c>
      <c r="C16">
        <v>0</v>
      </c>
    </row>
    <row r="17" spans="1:3">
      <c r="A17">
        <v>5.7079912918414353</v>
      </c>
      <c r="B17">
        <v>0</v>
      </c>
      <c r="C17">
        <v>7</v>
      </c>
    </row>
    <row r="18" spans="1:3">
      <c r="A18">
        <v>6.552390423718025</v>
      </c>
      <c r="B18">
        <v>0</v>
      </c>
      <c r="C18">
        <v>5</v>
      </c>
    </row>
    <row r="19" spans="1:3">
      <c r="A19">
        <v>5.4040485928824324</v>
      </c>
      <c r="B19">
        <v>11</v>
      </c>
      <c r="C19">
        <v>0</v>
      </c>
    </row>
    <row r="20" spans="1:3">
      <c r="A20">
        <v>5.8941455860189178</v>
      </c>
      <c r="B20">
        <v>0</v>
      </c>
      <c r="C20">
        <v>6</v>
      </c>
    </row>
    <row r="21" spans="1:3">
      <c r="A21">
        <v>4.4934215600931449</v>
      </c>
      <c r="B21">
        <v>0</v>
      </c>
      <c r="C21">
        <v>6</v>
      </c>
    </row>
    <row r="22" spans="1:3">
      <c r="A22">
        <v>4.5802717831030497</v>
      </c>
      <c r="B22">
        <v>0</v>
      </c>
      <c r="C22">
        <v>8</v>
      </c>
    </row>
    <row r="23" spans="1:3">
      <c r="A23">
        <v>6.0882701857642418</v>
      </c>
      <c r="B23">
        <v>10</v>
      </c>
      <c r="C23">
        <v>0</v>
      </c>
    </row>
    <row r="24" spans="1:3">
      <c r="A24">
        <v>5.0640963877301362</v>
      </c>
      <c r="B24">
        <v>0</v>
      </c>
      <c r="C24">
        <v>7</v>
      </c>
    </row>
    <row r="25" spans="1:3">
      <c r="A25">
        <v>4.1244062735711937</v>
      </c>
      <c r="B25">
        <v>0</v>
      </c>
      <c r="C25">
        <v>6</v>
      </c>
    </row>
    <row r="26" spans="1:3">
      <c r="A26">
        <v>5.9384294193278828</v>
      </c>
      <c r="B26">
        <v>0</v>
      </c>
      <c r="C26">
        <v>3</v>
      </c>
    </row>
    <row r="27" spans="1:3">
      <c r="A27">
        <v>4.5859278724643762</v>
      </c>
      <c r="B27">
        <v>0</v>
      </c>
      <c r="C27">
        <v>9</v>
      </c>
    </row>
    <row r="28" spans="1:3">
      <c r="A28">
        <v>4.0060541889625254</v>
      </c>
      <c r="B28">
        <v>12</v>
      </c>
      <c r="C28">
        <v>0</v>
      </c>
    </row>
    <row r="29" spans="1:3">
      <c r="A29">
        <v>7.3612745670664186</v>
      </c>
      <c r="B29">
        <v>0</v>
      </c>
      <c r="C29">
        <v>5</v>
      </c>
    </row>
    <row r="30" spans="1:3">
      <c r="A30">
        <v>6.5284343160063072</v>
      </c>
      <c r="B30">
        <v>0</v>
      </c>
      <c r="C30">
        <v>5</v>
      </c>
    </row>
    <row r="31" spans="1:3">
      <c r="A31">
        <v>8.1569948013111819</v>
      </c>
      <c r="B31">
        <v>0</v>
      </c>
      <c r="C31">
        <v>3</v>
      </c>
    </row>
    <row r="32" spans="1:3">
      <c r="A32">
        <v>17.273939440458701</v>
      </c>
      <c r="B32">
        <v>0</v>
      </c>
      <c r="C32">
        <v>2</v>
      </c>
    </row>
    <row r="33" spans="1:3">
      <c r="A33">
        <v>4.0062106253228107</v>
      </c>
      <c r="B33">
        <v>0</v>
      </c>
      <c r="C33">
        <v>7</v>
      </c>
    </row>
    <row r="34" spans="1:3">
      <c r="A34">
        <v>6.9870822163290631</v>
      </c>
      <c r="B34">
        <v>0</v>
      </c>
      <c r="C34">
        <v>3</v>
      </c>
    </row>
    <row r="35" spans="1:3">
      <c r="A35">
        <v>4.9466836237469911</v>
      </c>
      <c r="B35">
        <v>15</v>
      </c>
      <c r="C35">
        <v>0</v>
      </c>
    </row>
    <row r="36" spans="1:3">
      <c r="A36">
        <v>3.5330035508790938</v>
      </c>
      <c r="B36">
        <v>14</v>
      </c>
      <c r="C36">
        <v>0</v>
      </c>
    </row>
    <row r="37" spans="1:3">
      <c r="A37">
        <v>6.0980260847004022</v>
      </c>
      <c r="B37">
        <v>7</v>
      </c>
      <c r="C37">
        <v>0</v>
      </c>
    </row>
    <row r="38" spans="1:3">
      <c r="A38">
        <v>9.6126558796787762</v>
      </c>
      <c r="B38">
        <v>0</v>
      </c>
      <c r="C38">
        <v>3</v>
      </c>
    </row>
    <row r="39" spans="1:3">
      <c r="A39">
        <v>16.892154689498444</v>
      </c>
      <c r="B39">
        <v>0</v>
      </c>
      <c r="C39">
        <v>1</v>
      </c>
    </row>
    <row r="40" spans="1:3">
      <c r="A40">
        <v>3.4173528788323688</v>
      </c>
      <c r="B40">
        <v>9</v>
      </c>
      <c r="C40">
        <v>0</v>
      </c>
    </row>
    <row r="41" spans="1:3">
      <c r="A41">
        <v>2.6340391066872519</v>
      </c>
      <c r="B41">
        <v>0</v>
      </c>
      <c r="C41">
        <v>8</v>
      </c>
    </row>
    <row r="42" spans="1:3">
      <c r="A42">
        <v>4.8412993318490622</v>
      </c>
      <c r="B42">
        <v>0</v>
      </c>
      <c r="C42">
        <v>6</v>
      </c>
    </row>
    <row r="43" spans="1:3">
      <c r="A43">
        <v>5.8650349438221054</v>
      </c>
      <c r="B43">
        <v>6</v>
      </c>
      <c r="C43">
        <v>0</v>
      </c>
    </row>
    <row r="44" spans="1:3">
      <c r="A44">
        <v>6.2684758843938235</v>
      </c>
      <c r="B44">
        <v>12</v>
      </c>
      <c r="C44">
        <v>0</v>
      </c>
    </row>
    <row r="45" spans="1:3">
      <c r="A45">
        <v>5.6203864894327396</v>
      </c>
      <c r="B45">
        <v>8</v>
      </c>
      <c r="C45">
        <v>0</v>
      </c>
    </row>
    <row r="46" spans="1:3">
      <c r="A46">
        <v>6.1306778146738878</v>
      </c>
      <c r="B46">
        <v>0</v>
      </c>
      <c r="C46">
        <v>6</v>
      </c>
    </row>
    <row r="47" spans="1:3">
      <c r="A47">
        <v>4.8968727458629244</v>
      </c>
      <c r="B47">
        <v>0</v>
      </c>
      <c r="C47">
        <v>6</v>
      </c>
    </row>
    <row r="48" spans="1:3">
      <c r="A48">
        <v>3.7003451324624956</v>
      </c>
      <c r="B48">
        <v>0</v>
      </c>
      <c r="C48">
        <v>8</v>
      </c>
    </row>
    <row r="49" spans="1:3">
      <c r="A49">
        <v>6.0906581490846419</v>
      </c>
      <c r="B49">
        <v>0</v>
      </c>
      <c r="C49">
        <v>6</v>
      </c>
    </row>
    <row r="50" spans="1:3">
      <c r="A50">
        <v>3.7271591795073733</v>
      </c>
      <c r="B50">
        <v>0</v>
      </c>
      <c r="C50">
        <v>8</v>
      </c>
    </row>
    <row r="51" spans="1:3">
      <c r="A51">
        <v>5.3859139858259049</v>
      </c>
      <c r="B51">
        <v>0</v>
      </c>
      <c r="C51">
        <v>7</v>
      </c>
    </row>
    <row r="52" spans="1:3">
      <c r="A52">
        <v>4.5182362494466153</v>
      </c>
      <c r="B52">
        <v>17</v>
      </c>
      <c r="C52">
        <v>0</v>
      </c>
    </row>
    <row r="53" spans="1:3">
      <c r="A53">
        <v>4.5414181899686499</v>
      </c>
      <c r="B53">
        <v>0</v>
      </c>
      <c r="C53">
        <v>6</v>
      </c>
    </row>
    <row r="54" spans="1:3">
      <c r="A54">
        <v>5.5258527574062883</v>
      </c>
      <c r="B54">
        <v>0</v>
      </c>
      <c r="C54">
        <v>4</v>
      </c>
    </row>
    <row r="55" spans="1:3">
      <c r="A55">
        <v>5.7558779238103863</v>
      </c>
      <c r="B55">
        <v>7</v>
      </c>
      <c r="C55">
        <v>0</v>
      </c>
    </row>
    <row r="56" spans="1:3">
      <c r="A56">
        <v>4.7671695745293139</v>
      </c>
      <c r="B56">
        <v>0</v>
      </c>
      <c r="C56">
        <v>6</v>
      </c>
    </row>
    <row r="57" spans="1:3">
      <c r="A57">
        <v>4.5499814426446559</v>
      </c>
      <c r="B57">
        <v>0</v>
      </c>
      <c r="C57">
        <v>10</v>
      </c>
    </row>
    <row r="58" spans="1:3">
      <c r="A58">
        <v>4.2798711224131978</v>
      </c>
      <c r="B58">
        <v>12</v>
      </c>
      <c r="C58">
        <v>0</v>
      </c>
    </row>
    <row r="59" spans="1:3">
      <c r="A59">
        <v>3.8651720836836501</v>
      </c>
      <c r="B59">
        <v>0</v>
      </c>
      <c r="C59">
        <v>6</v>
      </c>
    </row>
    <row r="60" spans="1:3">
      <c r="A60">
        <v>5.1902590423659438</v>
      </c>
      <c r="B60">
        <v>14</v>
      </c>
      <c r="C60">
        <v>0</v>
      </c>
    </row>
    <row r="61" spans="1:3">
      <c r="A61">
        <v>8.0978217079702404</v>
      </c>
      <c r="B61">
        <v>0</v>
      </c>
      <c r="C61">
        <v>4</v>
      </c>
    </row>
    <row r="62" spans="1:3">
      <c r="A62">
        <v>8.6475944952201669</v>
      </c>
      <c r="B62">
        <v>0</v>
      </c>
      <c r="C62">
        <v>2</v>
      </c>
    </row>
    <row r="63" spans="1:3">
      <c r="A63">
        <v>4.9236761927564547</v>
      </c>
      <c r="B63">
        <v>0</v>
      </c>
      <c r="C63">
        <v>5</v>
      </c>
    </row>
    <row r="64" spans="1:3">
      <c r="A64">
        <v>3.1405392393697826</v>
      </c>
      <c r="B64">
        <v>13</v>
      </c>
      <c r="C64">
        <v>0</v>
      </c>
    </row>
    <row r="65" spans="1:3">
      <c r="A65">
        <v>5.1264361993104819</v>
      </c>
      <c r="B65">
        <v>0</v>
      </c>
      <c r="C65">
        <v>3</v>
      </c>
    </row>
    <row r="66" spans="1:3">
      <c r="A66">
        <v>7.0165839096827254</v>
      </c>
      <c r="B66">
        <v>0</v>
      </c>
      <c r="C66">
        <v>6</v>
      </c>
    </row>
    <row r="67" spans="1:3">
      <c r="A67">
        <v>3.9555443581585057</v>
      </c>
      <c r="B67">
        <v>0</v>
      </c>
      <c r="C67">
        <v>9</v>
      </c>
    </row>
    <row r="68" spans="1:3">
      <c r="A68">
        <v>6.0165295096634486</v>
      </c>
      <c r="B68">
        <v>4</v>
      </c>
      <c r="C68">
        <v>0</v>
      </c>
    </row>
    <row r="69" spans="1:3">
      <c r="A69">
        <v>11.232773361274363</v>
      </c>
      <c r="B69">
        <v>0</v>
      </c>
      <c r="C69">
        <v>3</v>
      </c>
    </row>
    <row r="70" spans="1:3">
      <c r="A70">
        <v>4.3441880353729294</v>
      </c>
      <c r="B70">
        <v>0</v>
      </c>
      <c r="C70">
        <v>10</v>
      </c>
    </row>
    <row r="71" spans="1:3">
      <c r="A71">
        <v>2.5770389158205878</v>
      </c>
      <c r="B71">
        <v>0</v>
      </c>
      <c r="C71">
        <v>9</v>
      </c>
    </row>
    <row r="72" spans="1:3">
      <c r="A72">
        <v>6.5716252758777465</v>
      </c>
      <c r="B72">
        <v>0</v>
      </c>
      <c r="C72">
        <v>3</v>
      </c>
    </row>
    <row r="73" spans="1:3">
      <c r="A73">
        <v>5.6413521432838687</v>
      </c>
      <c r="B73">
        <v>0</v>
      </c>
      <c r="C73">
        <v>5</v>
      </c>
    </row>
    <row r="74" spans="1:3">
      <c r="A74">
        <v>7.9561902262837076</v>
      </c>
      <c r="B74">
        <v>0</v>
      </c>
      <c r="C74">
        <v>6</v>
      </c>
    </row>
    <row r="75" spans="1:3">
      <c r="A75">
        <v>6.6555425917750535</v>
      </c>
      <c r="B75">
        <v>0</v>
      </c>
      <c r="C75">
        <v>6</v>
      </c>
    </row>
    <row r="76" spans="1:3">
      <c r="A76">
        <v>6.3934677037891152</v>
      </c>
      <c r="B76">
        <v>0</v>
      </c>
      <c r="C76">
        <v>5</v>
      </c>
    </row>
    <row r="77" spans="1:3">
      <c r="A77">
        <v>4.1304016812273652</v>
      </c>
      <c r="B77">
        <v>0</v>
      </c>
      <c r="C77">
        <v>9</v>
      </c>
    </row>
    <row r="78" spans="1:3">
      <c r="A78">
        <v>3.9529376609207589</v>
      </c>
      <c r="B78">
        <v>0</v>
      </c>
      <c r="C78">
        <v>7</v>
      </c>
    </row>
    <row r="79" spans="1:3">
      <c r="A79">
        <v>7.5427265036669073</v>
      </c>
      <c r="B79">
        <v>0</v>
      </c>
      <c r="C79">
        <v>6</v>
      </c>
    </row>
    <row r="80" spans="1:3">
      <c r="A80">
        <v>3.324531889612421</v>
      </c>
      <c r="B80">
        <v>17</v>
      </c>
      <c r="C80">
        <v>0</v>
      </c>
    </row>
    <row r="81" spans="1:3">
      <c r="A81">
        <v>6.8844400106293975</v>
      </c>
      <c r="B81">
        <v>9</v>
      </c>
      <c r="C81">
        <v>0</v>
      </c>
    </row>
    <row r="82" spans="1:3">
      <c r="A82">
        <v>6.0540917742568316</v>
      </c>
      <c r="B82">
        <v>0</v>
      </c>
      <c r="C82">
        <v>6</v>
      </c>
    </row>
    <row r="83" spans="1:3">
      <c r="A83">
        <v>10.589290667799402</v>
      </c>
      <c r="B83">
        <v>6</v>
      </c>
      <c r="C83">
        <v>0</v>
      </c>
    </row>
    <row r="84" spans="1:3">
      <c r="A84">
        <v>4.4471972386554528</v>
      </c>
      <c r="B84">
        <v>11</v>
      </c>
      <c r="C84">
        <v>0</v>
      </c>
    </row>
    <row r="85" spans="1:3">
      <c r="A85">
        <v>5.2557455868488514</v>
      </c>
      <c r="B85">
        <v>0</v>
      </c>
      <c r="C85">
        <v>2</v>
      </c>
    </row>
    <row r="86" spans="1:3">
      <c r="A86">
        <v>5.3511644662473987</v>
      </c>
      <c r="B86">
        <v>6</v>
      </c>
      <c r="C86">
        <v>0</v>
      </c>
    </row>
    <row r="87" spans="1:3">
      <c r="A87">
        <v>2.872303890114253</v>
      </c>
      <c r="B87">
        <v>16</v>
      </c>
      <c r="C87">
        <v>0</v>
      </c>
    </row>
    <row r="88" spans="1:3">
      <c r="A88">
        <v>8.4596080825670654</v>
      </c>
      <c r="B88">
        <v>0</v>
      </c>
      <c r="C88">
        <v>4</v>
      </c>
    </row>
    <row r="89" spans="1:3">
      <c r="A89">
        <v>4.9587817108955621</v>
      </c>
      <c r="B89">
        <v>0</v>
      </c>
      <c r="C89">
        <v>8</v>
      </c>
    </row>
    <row r="90" spans="1:3">
      <c r="A90">
        <v>3.6607657480308387</v>
      </c>
      <c r="B90">
        <v>0</v>
      </c>
      <c r="C90">
        <v>8</v>
      </c>
    </row>
    <row r="91" spans="1:3">
      <c r="A91">
        <v>3.6439856392389074</v>
      </c>
      <c r="B91">
        <v>14</v>
      </c>
      <c r="C91">
        <v>0</v>
      </c>
    </row>
    <row r="92" spans="1:3">
      <c r="A92">
        <v>8.6146330957935398</v>
      </c>
      <c r="B92">
        <v>0</v>
      </c>
      <c r="C92">
        <v>4</v>
      </c>
    </row>
    <row r="93" spans="1:3">
      <c r="A93">
        <v>10.193699352791292</v>
      </c>
      <c r="B93">
        <v>0</v>
      </c>
      <c r="C93">
        <v>1</v>
      </c>
    </row>
    <row r="94" spans="1:3">
      <c r="A94">
        <v>7.904390911340367</v>
      </c>
      <c r="B94">
        <v>0</v>
      </c>
      <c r="C94">
        <v>5</v>
      </c>
    </row>
    <row r="95" spans="1:3">
      <c r="A95">
        <v>3.0405905592705866</v>
      </c>
      <c r="B95">
        <v>0</v>
      </c>
      <c r="C95">
        <v>8</v>
      </c>
    </row>
    <row r="96" spans="1:3">
      <c r="A96">
        <v>10.370599976134548</v>
      </c>
      <c r="B96">
        <v>5</v>
      </c>
      <c r="C96">
        <v>0</v>
      </c>
    </row>
    <row r="97" spans="1:3">
      <c r="A97">
        <v>5.3594760354274955</v>
      </c>
      <c r="B97">
        <v>11</v>
      </c>
      <c r="C97">
        <v>0</v>
      </c>
    </row>
    <row r="98" spans="1:3">
      <c r="A98">
        <v>3.1303337551310415</v>
      </c>
      <c r="B98">
        <v>12</v>
      </c>
      <c r="C98">
        <v>0</v>
      </c>
    </row>
    <row r="99" spans="1:3">
      <c r="A99">
        <v>4.3675187230480823</v>
      </c>
      <c r="B99">
        <v>13</v>
      </c>
      <c r="C99">
        <v>0</v>
      </c>
    </row>
    <row r="100" spans="1:3">
      <c r="A100">
        <v>5.2962711643249705</v>
      </c>
      <c r="B100">
        <v>0</v>
      </c>
      <c r="C100">
        <v>6</v>
      </c>
    </row>
    <row r="101" spans="1:3">
      <c r="A101">
        <v>4.5786698189446922</v>
      </c>
      <c r="B101">
        <v>0</v>
      </c>
      <c r="C101">
        <v>7</v>
      </c>
    </row>
    <row r="102" spans="1:3">
      <c r="A102">
        <v>6.3810603883281001</v>
      </c>
      <c r="B102">
        <v>0</v>
      </c>
      <c r="C102">
        <v>4</v>
      </c>
    </row>
    <row r="103" spans="1:3">
      <c r="A103">
        <v>7.7964057740893287</v>
      </c>
      <c r="B103">
        <v>0</v>
      </c>
      <c r="C103">
        <v>2</v>
      </c>
    </row>
    <row r="104" spans="1:3">
      <c r="A104">
        <v>12.719238749897626</v>
      </c>
      <c r="B104">
        <v>0</v>
      </c>
      <c r="C104">
        <v>1</v>
      </c>
    </row>
    <row r="105" spans="1:3">
      <c r="A105">
        <v>5.7519664566794075</v>
      </c>
      <c r="B105">
        <v>0</v>
      </c>
      <c r="C105">
        <v>7</v>
      </c>
    </row>
    <row r="106" spans="1:3">
      <c r="A106">
        <v>4.4552544051044389</v>
      </c>
      <c r="B106">
        <v>16</v>
      </c>
      <c r="C106">
        <v>0</v>
      </c>
    </row>
    <row r="107" spans="1:3">
      <c r="A107">
        <v>4.6005385355174759</v>
      </c>
      <c r="B107">
        <v>0</v>
      </c>
      <c r="C107">
        <v>9</v>
      </c>
    </row>
    <row r="108" spans="1:3">
      <c r="A108">
        <v>3.2049347458963511</v>
      </c>
      <c r="B108">
        <v>0</v>
      </c>
      <c r="C108">
        <v>10</v>
      </c>
    </row>
    <row r="109" spans="1:3">
      <c r="A109">
        <v>7.2184568390211545</v>
      </c>
      <c r="B109">
        <v>0</v>
      </c>
      <c r="C109">
        <v>2</v>
      </c>
    </row>
    <row r="110" spans="1:3">
      <c r="A110">
        <v>4.5740084073886766</v>
      </c>
      <c r="B110">
        <v>0</v>
      </c>
      <c r="C110">
        <v>6</v>
      </c>
    </row>
    <row r="111" spans="1:3">
      <c r="A111">
        <v>7.5478749076925764</v>
      </c>
      <c r="B111">
        <v>9</v>
      </c>
      <c r="C111">
        <v>0</v>
      </c>
    </row>
    <row r="112" spans="1:3">
      <c r="A112">
        <v>6.9067609546118147</v>
      </c>
      <c r="B112">
        <v>9</v>
      </c>
      <c r="C112">
        <v>0</v>
      </c>
    </row>
    <row r="113" spans="1:3">
      <c r="A113">
        <v>4.5861133927677624</v>
      </c>
      <c r="B113">
        <v>0</v>
      </c>
      <c r="C113">
        <v>8</v>
      </c>
    </row>
    <row r="114" spans="1:3">
      <c r="A114">
        <v>4.0827342029671367</v>
      </c>
      <c r="B114">
        <v>0</v>
      </c>
      <c r="C114">
        <v>9</v>
      </c>
    </row>
    <row r="115" spans="1:3">
      <c r="A115">
        <v>3.2454583614396753</v>
      </c>
      <c r="B115">
        <v>0</v>
      </c>
      <c r="C115">
        <v>9</v>
      </c>
    </row>
    <row r="116" spans="1:3">
      <c r="A116">
        <v>3.7397969568779823</v>
      </c>
      <c r="B116">
        <v>0</v>
      </c>
      <c r="C116">
        <v>8</v>
      </c>
    </row>
    <row r="117" spans="1:3">
      <c r="A117">
        <v>7.235373698013408</v>
      </c>
      <c r="B117">
        <v>0</v>
      </c>
      <c r="C117">
        <v>6</v>
      </c>
    </row>
    <row r="118" spans="1:3">
      <c r="A118">
        <v>7.1291067957676395</v>
      </c>
      <c r="B118">
        <v>7</v>
      </c>
      <c r="C118">
        <v>0</v>
      </c>
    </row>
    <row r="119" spans="1:3">
      <c r="A119">
        <v>6.7035946000344229</v>
      </c>
      <c r="B119">
        <v>0</v>
      </c>
      <c r="C119">
        <v>3</v>
      </c>
    </row>
    <row r="120" spans="1:3">
      <c r="A120">
        <v>11.482903157737015</v>
      </c>
      <c r="B120">
        <v>0</v>
      </c>
      <c r="C120">
        <v>2</v>
      </c>
    </row>
    <row r="121" spans="1:3">
      <c r="A121">
        <v>4.1627425818221599</v>
      </c>
      <c r="B121">
        <v>11</v>
      </c>
      <c r="C121">
        <v>0</v>
      </c>
    </row>
    <row r="122" spans="1:3">
      <c r="A122">
        <v>8.047266397623261</v>
      </c>
      <c r="B122">
        <v>0</v>
      </c>
      <c r="C122">
        <v>3</v>
      </c>
    </row>
    <row r="123" spans="1:3">
      <c r="A123">
        <v>6.8527026814523602</v>
      </c>
      <c r="B123">
        <v>0</v>
      </c>
      <c r="C123">
        <v>5</v>
      </c>
    </row>
    <row r="124" spans="1:3">
      <c r="A124">
        <v>5.677484720456424</v>
      </c>
      <c r="B124">
        <v>0</v>
      </c>
      <c r="C124">
        <v>7</v>
      </c>
    </row>
    <row r="125" spans="1:3">
      <c r="A125">
        <v>5.7150458543957168</v>
      </c>
      <c r="B125">
        <v>0</v>
      </c>
      <c r="C125">
        <v>7</v>
      </c>
    </row>
    <row r="126" spans="1:3">
      <c r="A126">
        <v>3.6128311665352166</v>
      </c>
      <c r="B126">
        <v>0</v>
      </c>
      <c r="C126">
        <v>6</v>
      </c>
    </row>
    <row r="127" spans="1:3">
      <c r="A127">
        <v>5.9000957720379565</v>
      </c>
      <c r="B127">
        <v>0</v>
      </c>
      <c r="C127">
        <v>5</v>
      </c>
    </row>
    <row r="128" spans="1:3">
      <c r="A128">
        <v>4.0485856962101288</v>
      </c>
      <c r="B128">
        <v>0</v>
      </c>
      <c r="C128">
        <v>6</v>
      </c>
    </row>
    <row r="129" spans="1:3">
      <c r="A129">
        <v>3.3336543239128718</v>
      </c>
      <c r="B129">
        <v>0</v>
      </c>
      <c r="C129">
        <v>9</v>
      </c>
    </row>
    <row r="130" spans="1:3">
      <c r="A130">
        <v>3.7676371224291452</v>
      </c>
      <c r="B130">
        <v>0</v>
      </c>
      <c r="C130">
        <v>7</v>
      </c>
    </row>
    <row r="131" spans="1:3">
      <c r="A131">
        <v>4.7452092805446107</v>
      </c>
      <c r="B131">
        <v>7</v>
      </c>
      <c r="C131">
        <v>0</v>
      </c>
    </row>
    <row r="132" spans="1:3">
      <c r="A132">
        <v>5.127070408309323</v>
      </c>
      <c r="B132">
        <v>10</v>
      </c>
      <c r="C132">
        <v>0</v>
      </c>
    </row>
    <row r="133" spans="1:3">
      <c r="A133">
        <v>11.542507646287937</v>
      </c>
      <c r="B133">
        <v>5</v>
      </c>
      <c r="C133">
        <v>0</v>
      </c>
    </row>
    <row r="134" spans="1:3">
      <c r="A134">
        <v>2.7630851120460842</v>
      </c>
      <c r="B134">
        <v>16</v>
      </c>
      <c r="C134">
        <v>0</v>
      </c>
    </row>
    <row r="135" spans="1:3">
      <c r="A135">
        <v>3.1447980851493011</v>
      </c>
      <c r="B135">
        <v>0</v>
      </c>
      <c r="C135">
        <v>10</v>
      </c>
    </row>
    <row r="136" spans="1:3">
      <c r="A136">
        <v>6.7508828637131648</v>
      </c>
      <c r="B136">
        <v>0</v>
      </c>
      <c r="C136">
        <v>7</v>
      </c>
    </row>
    <row r="137" spans="1:3">
      <c r="A137">
        <v>2.5092342566642394</v>
      </c>
      <c r="B137">
        <v>0</v>
      </c>
      <c r="C137">
        <v>8</v>
      </c>
    </row>
    <row r="138" spans="1:3">
      <c r="A138">
        <v>4.4697733735206713</v>
      </c>
      <c r="B138">
        <v>0</v>
      </c>
      <c r="C138">
        <v>9</v>
      </c>
    </row>
    <row r="139" spans="1:3">
      <c r="A139">
        <v>3.8041300893496852</v>
      </c>
      <c r="B139">
        <v>0</v>
      </c>
      <c r="C139">
        <v>6</v>
      </c>
    </row>
    <row r="140" spans="1:3">
      <c r="A140">
        <v>13.308364417025865</v>
      </c>
      <c r="B140">
        <v>2</v>
      </c>
      <c r="C140">
        <v>0</v>
      </c>
    </row>
    <row r="141" spans="1:3">
      <c r="A141">
        <v>3.8090137802316359</v>
      </c>
      <c r="B141">
        <v>0</v>
      </c>
      <c r="C141">
        <v>10</v>
      </c>
    </row>
    <row r="142" spans="1:3">
      <c r="A142">
        <v>5.3486076418714115</v>
      </c>
      <c r="B142">
        <v>0</v>
      </c>
      <c r="C142">
        <v>7</v>
      </c>
    </row>
    <row r="143" spans="1:3">
      <c r="A143">
        <v>5.2928257483399594</v>
      </c>
      <c r="B143">
        <v>0</v>
      </c>
      <c r="C143">
        <v>8</v>
      </c>
    </row>
    <row r="144" spans="1:3">
      <c r="A144">
        <v>2.8602866872758574</v>
      </c>
      <c r="B144">
        <v>12</v>
      </c>
      <c r="C144">
        <v>0</v>
      </c>
    </row>
    <row r="145" spans="1:3">
      <c r="A145">
        <v>5.2803716361328759</v>
      </c>
      <c r="B145">
        <v>0</v>
      </c>
      <c r="C145">
        <v>5</v>
      </c>
    </row>
    <row r="146" spans="1:3">
      <c r="A146">
        <v>5.2978968776712581</v>
      </c>
      <c r="B146">
        <v>0</v>
      </c>
      <c r="C146">
        <v>8</v>
      </c>
    </row>
    <row r="147" spans="1:3">
      <c r="A147">
        <v>4.8442450837611162</v>
      </c>
      <c r="B147">
        <v>0</v>
      </c>
      <c r="C147">
        <v>5</v>
      </c>
    </row>
    <row r="148" spans="1:3">
      <c r="A148">
        <v>5.1106882138542824</v>
      </c>
      <c r="B148">
        <v>0</v>
      </c>
      <c r="C148">
        <v>6</v>
      </c>
    </row>
    <row r="149" spans="1:3">
      <c r="A149">
        <v>8.1139777464794562</v>
      </c>
      <c r="B149">
        <v>8</v>
      </c>
      <c r="C149">
        <v>0</v>
      </c>
    </row>
    <row r="150" spans="1:3">
      <c r="A150">
        <v>10.031706222012701</v>
      </c>
      <c r="B150">
        <v>4</v>
      </c>
      <c r="C150">
        <v>0</v>
      </c>
    </row>
    <row r="151" spans="1:3">
      <c r="A151">
        <v>5.9268684158593734</v>
      </c>
      <c r="B151">
        <v>14</v>
      </c>
      <c r="C151">
        <v>0</v>
      </c>
    </row>
    <row r="152" spans="1:3">
      <c r="A152">
        <v>6.9789829477767835</v>
      </c>
      <c r="B152">
        <v>0</v>
      </c>
      <c r="C152">
        <v>5</v>
      </c>
    </row>
    <row r="153" spans="1:3">
      <c r="A153">
        <v>5.1297976053658925</v>
      </c>
      <c r="B153">
        <v>0</v>
      </c>
      <c r="C153">
        <v>6</v>
      </c>
    </row>
    <row r="154" spans="1:3">
      <c r="A154">
        <v>7.123421019395904</v>
      </c>
      <c r="B154">
        <v>0</v>
      </c>
      <c r="C154">
        <v>4</v>
      </c>
    </row>
    <row r="155" spans="1:3">
      <c r="A155">
        <v>4.6070247358759051</v>
      </c>
      <c r="B155">
        <v>0</v>
      </c>
      <c r="C155">
        <v>5</v>
      </c>
    </row>
    <row r="156" spans="1:3">
      <c r="A156">
        <v>4.4430912964103353</v>
      </c>
      <c r="B156">
        <v>0</v>
      </c>
      <c r="C156">
        <v>6</v>
      </c>
    </row>
    <row r="157" spans="1:3">
      <c r="A157">
        <v>5.4199676963511392</v>
      </c>
      <c r="B157">
        <v>0</v>
      </c>
      <c r="C157">
        <v>5</v>
      </c>
    </row>
    <row r="158" spans="1:3">
      <c r="A158">
        <v>2.9840814611121789</v>
      </c>
      <c r="B158">
        <v>13</v>
      </c>
      <c r="C158">
        <v>0</v>
      </c>
    </row>
    <row r="159" spans="1:3">
      <c r="A159">
        <v>5.0402828572228326</v>
      </c>
      <c r="B159">
        <v>9</v>
      </c>
      <c r="C159">
        <v>0</v>
      </c>
    </row>
    <row r="160" spans="1:3">
      <c r="A160">
        <v>9.133285669435498</v>
      </c>
      <c r="B160">
        <v>0</v>
      </c>
      <c r="C160">
        <v>3</v>
      </c>
    </row>
    <row r="161" spans="1:3">
      <c r="A161">
        <v>5.7692731807058006</v>
      </c>
      <c r="B161">
        <v>12</v>
      </c>
      <c r="C161">
        <v>0</v>
      </c>
    </row>
    <row r="162" spans="1:3">
      <c r="A162">
        <v>4.3544470428366768</v>
      </c>
      <c r="B162">
        <v>0</v>
      </c>
      <c r="C162">
        <v>6</v>
      </c>
    </row>
    <row r="163" spans="1:3">
      <c r="A163">
        <v>7.4881521563930384</v>
      </c>
      <c r="B163">
        <v>4</v>
      </c>
      <c r="C163">
        <v>0</v>
      </c>
    </row>
    <row r="164" spans="1:3">
      <c r="A164">
        <v>13.104573485403812</v>
      </c>
      <c r="B164">
        <v>0</v>
      </c>
      <c r="C164">
        <v>1</v>
      </c>
    </row>
    <row r="165" spans="1:3">
      <c r="A165">
        <v>5.2518230319417905</v>
      </c>
      <c r="B165">
        <v>0</v>
      </c>
      <c r="C165">
        <v>6</v>
      </c>
    </row>
    <row r="166" spans="1:3">
      <c r="A166">
        <v>9.8604115461402042</v>
      </c>
      <c r="B166">
        <v>5</v>
      </c>
      <c r="C166">
        <v>0</v>
      </c>
    </row>
    <row r="167" spans="1:3">
      <c r="A167">
        <v>4.7500787603968027</v>
      </c>
      <c r="B167">
        <v>10</v>
      </c>
      <c r="C167">
        <v>0</v>
      </c>
    </row>
    <row r="168" spans="1:3">
      <c r="A168">
        <v>4.7761774487997561</v>
      </c>
      <c r="B168">
        <v>0</v>
      </c>
      <c r="C168">
        <v>7</v>
      </c>
    </row>
    <row r="169" spans="1:3">
      <c r="A169">
        <v>6.7576389777530981</v>
      </c>
      <c r="B169">
        <v>5</v>
      </c>
      <c r="C169">
        <v>0</v>
      </c>
    </row>
    <row r="170" spans="1:3">
      <c r="A170">
        <v>4.3983002196465</v>
      </c>
      <c r="B170">
        <v>0</v>
      </c>
      <c r="C170">
        <v>9</v>
      </c>
    </row>
    <row r="171" spans="1:3">
      <c r="A171">
        <v>6.2360188295024548</v>
      </c>
      <c r="B171">
        <v>0</v>
      </c>
      <c r="C171">
        <v>4</v>
      </c>
    </row>
    <row r="172" spans="1:3">
      <c r="A172">
        <v>4.5303348648715929</v>
      </c>
      <c r="B172">
        <v>11</v>
      </c>
      <c r="C172">
        <v>0</v>
      </c>
    </row>
    <row r="173" spans="1:3">
      <c r="A173">
        <v>5.2845852496087353</v>
      </c>
      <c r="B173">
        <v>0</v>
      </c>
      <c r="C173">
        <v>6</v>
      </c>
    </row>
    <row r="174" spans="1:3">
      <c r="A174">
        <v>7.7141074779885894</v>
      </c>
      <c r="B174">
        <v>0</v>
      </c>
      <c r="C174">
        <v>6</v>
      </c>
    </row>
    <row r="175" spans="1:3">
      <c r="A175">
        <v>5.1114177029735401</v>
      </c>
      <c r="B175">
        <v>0</v>
      </c>
      <c r="C175">
        <v>7</v>
      </c>
    </row>
    <row r="176" spans="1:3">
      <c r="A176">
        <v>7.3440496600808762</v>
      </c>
      <c r="B176">
        <v>11</v>
      </c>
      <c r="C176">
        <v>0</v>
      </c>
    </row>
    <row r="177" spans="1:3">
      <c r="A177">
        <v>4.8334923388082851</v>
      </c>
      <c r="B177">
        <v>0</v>
      </c>
      <c r="C177">
        <v>5</v>
      </c>
    </row>
    <row r="178" spans="1:3">
      <c r="A178">
        <v>7.6321342011809445</v>
      </c>
      <c r="B178">
        <v>0</v>
      </c>
      <c r="C178">
        <v>4</v>
      </c>
    </row>
    <row r="179" spans="1:3">
      <c r="A179">
        <v>9.5795959896596834</v>
      </c>
      <c r="B179">
        <v>3</v>
      </c>
      <c r="C179">
        <v>0</v>
      </c>
    </row>
    <row r="180" spans="1:3">
      <c r="A180">
        <v>3.4581341786720006</v>
      </c>
      <c r="B180">
        <v>0</v>
      </c>
      <c r="C180">
        <v>8</v>
      </c>
    </row>
    <row r="181" spans="1:3">
      <c r="A181">
        <v>6.6040802852224356</v>
      </c>
      <c r="B181">
        <v>0</v>
      </c>
      <c r="C181">
        <v>6</v>
      </c>
    </row>
    <row r="182" spans="1:3">
      <c r="A182">
        <v>7.3045694370515317</v>
      </c>
      <c r="B182">
        <v>6</v>
      </c>
      <c r="C182">
        <v>0</v>
      </c>
    </row>
    <row r="183" spans="1:3">
      <c r="A183">
        <v>7.3546411822202122</v>
      </c>
      <c r="B183">
        <v>0</v>
      </c>
      <c r="C183">
        <v>6</v>
      </c>
    </row>
    <row r="184" spans="1:3">
      <c r="A184">
        <v>3.7730311448310192</v>
      </c>
      <c r="B184">
        <v>0</v>
      </c>
      <c r="C184">
        <v>9</v>
      </c>
    </row>
    <row r="185" spans="1:3">
      <c r="A185">
        <v>5.9691818111011177</v>
      </c>
      <c r="B185">
        <v>10</v>
      </c>
      <c r="C185">
        <v>0</v>
      </c>
    </row>
    <row r="186" spans="1:3">
      <c r="A186">
        <v>4.488118693270148</v>
      </c>
      <c r="B186">
        <v>14</v>
      </c>
      <c r="C186">
        <v>0</v>
      </c>
    </row>
    <row r="187" spans="1:3">
      <c r="A187">
        <v>4.5395138785566012</v>
      </c>
      <c r="B187">
        <v>0</v>
      </c>
      <c r="C187">
        <v>5</v>
      </c>
    </row>
    <row r="188" spans="1:3">
      <c r="A188">
        <v>7.1136841703868274</v>
      </c>
      <c r="B188">
        <v>9</v>
      </c>
      <c r="C188">
        <v>0</v>
      </c>
    </row>
    <row r="189" spans="1:3">
      <c r="A189">
        <v>10.323875336783482</v>
      </c>
      <c r="B189">
        <v>5</v>
      </c>
      <c r="C189">
        <v>0</v>
      </c>
    </row>
    <row r="190" spans="1:3">
      <c r="A190">
        <v>8.6779155101460379</v>
      </c>
      <c r="B190">
        <v>0</v>
      </c>
      <c r="C190">
        <v>2</v>
      </c>
    </row>
    <row r="191" spans="1:3">
      <c r="A191">
        <v>5.7262858106565586</v>
      </c>
      <c r="B191">
        <v>0</v>
      </c>
      <c r="C191">
        <v>5</v>
      </c>
    </row>
    <row r="192" spans="1:3">
      <c r="A192">
        <v>5.7819560212195151</v>
      </c>
      <c r="B192">
        <v>13</v>
      </c>
      <c r="C192">
        <v>0</v>
      </c>
    </row>
    <row r="193" spans="1:3">
      <c r="A193">
        <v>4.4199410403938142</v>
      </c>
      <c r="B193">
        <v>0</v>
      </c>
      <c r="C193">
        <v>7</v>
      </c>
    </row>
    <row r="194" spans="1:3">
      <c r="A194">
        <v>6.4958928033810821</v>
      </c>
      <c r="B194">
        <v>0</v>
      </c>
      <c r="C194">
        <v>6</v>
      </c>
    </row>
    <row r="195" spans="1:3">
      <c r="A195">
        <v>5.6505361310726521</v>
      </c>
      <c r="B195">
        <v>0</v>
      </c>
      <c r="C195">
        <v>6</v>
      </c>
    </row>
    <row r="196" spans="1:3">
      <c r="A196">
        <v>4.8571771000022288</v>
      </c>
      <c r="B196">
        <v>14</v>
      </c>
      <c r="C196">
        <v>0</v>
      </c>
    </row>
    <row r="197" spans="1:3">
      <c r="A197">
        <v>8.9304406685049251</v>
      </c>
      <c r="B197">
        <v>2</v>
      </c>
      <c r="C197">
        <v>0</v>
      </c>
    </row>
    <row r="198" spans="1:3">
      <c r="A198">
        <v>5.2910882847574738</v>
      </c>
      <c r="B198">
        <v>0</v>
      </c>
      <c r="C198">
        <v>5</v>
      </c>
    </row>
    <row r="199" spans="1:3">
      <c r="A199">
        <v>3.8157053575344122</v>
      </c>
      <c r="B199">
        <v>0</v>
      </c>
      <c r="C199">
        <v>8</v>
      </c>
    </row>
    <row r="200" spans="1:3">
      <c r="A200">
        <v>4.1717530870632888</v>
      </c>
      <c r="B200">
        <v>0</v>
      </c>
      <c r="C200">
        <v>8</v>
      </c>
    </row>
    <row r="201" spans="1:3">
      <c r="A201">
        <v>3.5810224414948943</v>
      </c>
      <c r="B201">
        <v>0</v>
      </c>
      <c r="C201">
        <v>7</v>
      </c>
    </row>
    <row r="202" spans="1:3">
      <c r="A202">
        <v>6.3648698388699891</v>
      </c>
      <c r="B202">
        <v>0</v>
      </c>
      <c r="C202">
        <v>3</v>
      </c>
    </row>
    <row r="203" spans="1:3">
      <c r="A203">
        <v>4.0241395993858031</v>
      </c>
      <c r="B203">
        <v>0</v>
      </c>
      <c r="C203">
        <v>6</v>
      </c>
    </row>
    <row r="204" spans="1:3">
      <c r="A204">
        <v>4.1682426054636315</v>
      </c>
      <c r="B204">
        <v>0</v>
      </c>
      <c r="C204">
        <v>7</v>
      </c>
    </row>
    <row r="205" spans="1:3">
      <c r="A205">
        <v>3.8832485262905649</v>
      </c>
      <c r="B205">
        <v>0</v>
      </c>
      <c r="C205">
        <v>7</v>
      </c>
    </row>
    <row r="206" spans="1:3">
      <c r="A206">
        <v>3.5611574775056996</v>
      </c>
      <c r="B206">
        <v>0</v>
      </c>
      <c r="C206">
        <v>8</v>
      </c>
    </row>
    <row r="207" spans="1:3">
      <c r="A207">
        <v>8.0712981173079061</v>
      </c>
      <c r="B207">
        <v>6</v>
      </c>
      <c r="C207">
        <v>0</v>
      </c>
    </row>
    <row r="208" spans="1:3">
      <c r="A208">
        <v>5.5832159107282751</v>
      </c>
      <c r="B208">
        <v>11</v>
      </c>
      <c r="C208">
        <v>0</v>
      </c>
    </row>
    <row r="209" spans="1:3">
      <c r="A209">
        <v>6.3565591364184</v>
      </c>
      <c r="B209">
        <v>11</v>
      </c>
      <c r="C209">
        <v>0</v>
      </c>
    </row>
    <row r="210" spans="1:3">
      <c r="A210">
        <v>4.5459773320128773</v>
      </c>
      <c r="B210">
        <v>0</v>
      </c>
      <c r="C210">
        <v>6</v>
      </c>
    </row>
    <row r="211" spans="1:3">
      <c r="A211">
        <v>5.1580079846288687</v>
      </c>
      <c r="B211">
        <v>13</v>
      </c>
      <c r="C211">
        <v>0</v>
      </c>
    </row>
    <row r="212" spans="1:3">
      <c r="A212">
        <v>16.041685996837181</v>
      </c>
      <c r="B212">
        <v>0</v>
      </c>
      <c r="C212">
        <v>1</v>
      </c>
    </row>
    <row r="213" spans="1:3">
      <c r="A213">
        <v>4.3832544061559817</v>
      </c>
      <c r="B213">
        <v>0</v>
      </c>
      <c r="C213">
        <v>6</v>
      </c>
    </row>
    <row r="214" spans="1:3">
      <c r="A214">
        <v>2.7044555652334785</v>
      </c>
      <c r="B214">
        <v>0</v>
      </c>
      <c r="C214">
        <v>6</v>
      </c>
    </row>
    <row r="215" spans="1:3">
      <c r="A215">
        <v>4.027448848853779</v>
      </c>
      <c r="B215">
        <v>0</v>
      </c>
      <c r="C215">
        <v>9</v>
      </c>
    </row>
    <row r="216" spans="1:3">
      <c r="A216">
        <v>4.8771117036343012</v>
      </c>
      <c r="B216">
        <v>8</v>
      </c>
      <c r="C216">
        <v>0</v>
      </c>
    </row>
    <row r="217" spans="1:3">
      <c r="A217">
        <v>7.5589705642388951</v>
      </c>
      <c r="B217">
        <v>0</v>
      </c>
      <c r="C217">
        <v>4</v>
      </c>
    </row>
    <row r="218" spans="1:3">
      <c r="A218">
        <v>6.2047491222589883</v>
      </c>
      <c r="B218">
        <v>13</v>
      </c>
      <c r="C218">
        <v>0</v>
      </c>
    </row>
    <row r="219" spans="1:3">
      <c r="A219">
        <v>13.035405831352737</v>
      </c>
      <c r="B219">
        <v>1</v>
      </c>
      <c r="C219">
        <v>0</v>
      </c>
    </row>
    <row r="220" spans="1:3">
      <c r="A220">
        <v>7.8878343800013182</v>
      </c>
      <c r="B220">
        <v>10</v>
      </c>
      <c r="C220">
        <v>0</v>
      </c>
    </row>
    <row r="221" spans="1:3">
      <c r="A221">
        <v>4.5563758764766895</v>
      </c>
      <c r="B221">
        <v>0</v>
      </c>
      <c r="C221">
        <v>8</v>
      </c>
    </row>
    <row r="222" spans="1:3">
      <c r="A222">
        <v>4.9537021827186232</v>
      </c>
      <c r="B222">
        <v>0</v>
      </c>
      <c r="C222">
        <v>7</v>
      </c>
    </row>
    <row r="223" spans="1:3">
      <c r="A223">
        <v>4.0668353495539185</v>
      </c>
      <c r="B223">
        <v>0</v>
      </c>
      <c r="C223">
        <v>7</v>
      </c>
    </row>
    <row r="224" spans="1:3">
      <c r="A224">
        <v>3.982653952532452</v>
      </c>
      <c r="B224">
        <v>0</v>
      </c>
      <c r="C224">
        <v>7</v>
      </c>
    </row>
    <row r="225" spans="1:3">
      <c r="A225">
        <v>7.8669447549463989</v>
      </c>
      <c r="B225">
        <v>0</v>
      </c>
      <c r="C225">
        <v>3</v>
      </c>
    </row>
    <row r="226" spans="1:3">
      <c r="A226">
        <v>7.4106927140672401</v>
      </c>
      <c r="B226">
        <v>10</v>
      </c>
      <c r="C226">
        <v>0</v>
      </c>
    </row>
    <row r="227" spans="1:3">
      <c r="A227">
        <v>6.5127293920729228</v>
      </c>
      <c r="B227">
        <v>0</v>
      </c>
      <c r="C227">
        <v>7</v>
      </c>
    </row>
    <row r="228" spans="1:3">
      <c r="A228">
        <v>4.413843352571182</v>
      </c>
      <c r="B228">
        <v>0</v>
      </c>
      <c r="C228">
        <v>8</v>
      </c>
    </row>
    <row r="229" spans="1:3">
      <c r="A229">
        <v>4.1876010892106059</v>
      </c>
      <c r="B229">
        <v>16</v>
      </c>
      <c r="C229">
        <v>0</v>
      </c>
    </row>
    <row r="230" spans="1:3">
      <c r="A230">
        <v>6.2356984255791152</v>
      </c>
      <c r="B230">
        <v>0</v>
      </c>
      <c r="C230">
        <v>4</v>
      </c>
    </row>
    <row r="231" spans="1:3">
      <c r="A231">
        <v>5.8738936342181409</v>
      </c>
      <c r="B231">
        <v>0</v>
      </c>
      <c r="C231">
        <v>6</v>
      </c>
    </row>
    <row r="232" spans="1:3">
      <c r="A232">
        <v>3.299863296786639</v>
      </c>
      <c r="B232">
        <v>0</v>
      </c>
      <c r="C232">
        <v>8</v>
      </c>
    </row>
    <row r="233" spans="1:3">
      <c r="A233">
        <v>4.4416902634877742</v>
      </c>
      <c r="B233">
        <v>0</v>
      </c>
      <c r="C233">
        <v>5</v>
      </c>
    </row>
    <row r="234" spans="1:3">
      <c r="A234">
        <v>4.6161716668261299</v>
      </c>
      <c r="B234">
        <v>0</v>
      </c>
      <c r="C234">
        <v>6</v>
      </c>
    </row>
    <row r="235" spans="1:3">
      <c r="A235">
        <v>7.8637352760827559</v>
      </c>
      <c r="B235">
        <v>0</v>
      </c>
      <c r="C235">
        <v>4</v>
      </c>
    </row>
    <row r="236" spans="1:3">
      <c r="A236">
        <v>5.4736651254356099</v>
      </c>
      <c r="B236">
        <v>0</v>
      </c>
      <c r="C236">
        <v>6</v>
      </c>
    </row>
    <row r="237" spans="1:3">
      <c r="A237">
        <v>4.698035895603736</v>
      </c>
      <c r="B237">
        <v>0</v>
      </c>
      <c r="C237">
        <v>4</v>
      </c>
    </row>
    <row r="238" spans="1:3">
      <c r="A238">
        <v>4.6715031435304279</v>
      </c>
      <c r="B238">
        <v>0</v>
      </c>
      <c r="C238">
        <v>6</v>
      </c>
    </row>
    <row r="239" spans="1:3">
      <c r="A239">
        <v>3.2748821260717733</v>
      </c>
      <c r="B239">
        <v>0</v>
      </c>
      <c r="C239">
        <v>8</v>
      </c>
    </row>
    <row r="240" spans="1:3">
      <c r="A240">
        <v>10.175341488928112</v>
      </c>
      <c r="B240">
        <v>3</v>
      </c>
      <c r="C240">
        <v>0</v>
      </c>
    </row>
    <row r="241" spans="1:3">
      <c r="A241">
        <v>4.5881467370794571</v>
      </c>
      <c r="B241">
        <v>10</v>
      </c>
      <c r="C241">
        <v>0</v>
      </c>
    </row>
    <row r="242" spans="1:3">
      <c r="A242">
        <v>5.1432179765750057</v>
      </c>
      <c r="B242">
        <v>0</v>
      </c>
      <c r="C242">
        <v>4</v>
      </c>
    </row>
    <row r="243" spans="1:3">
      <c r="A243">
        <v>3.2090701353101307</v>
      </c>
      <c r="B243">
        <v>0</v>
      </c>
      <c r="C243">
        <v>8</v>
      </c>
    </row>
    <row r="244" spans="1:3">
      <c r="A244">
        <v>12.414569201801047</v>
      </c>
      <c r="B244">
        <v>7</v>
      </c>
      <c r="C244">
        <v>0</v>
      </c>
    </row>
    <row r="245" spans="1:3">
      <c r="A245">
        <v>4.468568814664776</v>
      </c>
      <c r="B245">
        <v>0</v>
      </c>
      <c r="C245">
        <v>8</v>
      </c>
    </row>
    <row r="246" spans="1:3">
      <c r="A246">
        <v>7.2774626719946713</v>
      </c>
      <c r="B246">
        <v>4</v>
      </c>
      <c r="C246">
        <v>0</v>
      </c>
    </row>
    <row r="247" spans="1:3">
      <c r="A247">
        <v>6.6943076648791857</v>
      </c>
      <c r="B247">
        <v>0</v>
      </c>
      <c r="C247">
        <v>7</v>
      </c>
    </row>
    <row r="248" spans="1:3">
      <c r="A248">
        <v>2.9106876208874692</v>
      </c>
      <c r="B248">
        <v>0</v>
      </c>
      <c r="C248">
        <v>9</v>
      </c>
    </row>
    <row r="249" spans="1:3">
      <c r="A249">
        <v>4.0274836689345506</v>
      </c>
      <c r="B249">
        <v>0</v>
      </c>
      <c r="C249">
        <v>7</v>
      </c>
    </row>
    <row r="250" spans="1:3">
      <c r="A250">
        <v>11.222927074335949</v>
      </c>
      <c r="B250">
        <v>2</v>
      </c>
      <c r="C250">
        <v>0</v>
      </c>
    </row>
    <row r="251" spans="1:3">
      <c r="A251">
        <v>3.435766205307103</v>
      </c>
      <c r="B251">
        <v>0</v>
      </c>
      <c r="C251">
        <v>8</v>
      </c>
    </row>
    <row r="252" spans="1:3">
      <c r="A252">
        <v>4.5563165472879277</v>
      </c>
      <c r="B252">
        <v>0</v>
      </c>
      <c r="C252">
        <v>4</v>
      </c>
    </row>
    <row r="253" spans="1:3">
      <c r="A253">
        <v>14.5602272767426</v>
      </c>
      <c r="B253">
        <v>0</v>
      </c>
      <c r="C253">
        <v>1</v>
      </c>
    </row>
    <row r="254" spans="1:3">
      <c r="A254">
        <v>13.428060376654191</v>
      </c>
      <c r="B254">
        <v>0</v>
      </c>
      <c r="C254">
        <v>2</v>
      </c>
    </row>
    <row r="255" spans="1:3">
      <c r="A255">
        <v>9.3250336728159873</v>
      </c>
      <c r="B255">
        <v>4</v>
      </c>
      <c r="C255">
        <v>0</v>
      </c>
    </row>
    <row r="256" spans="1:3">
      <c r="A256">
        <v>5.1362157652026079</v>
      </c>
      <c r="B256">
        <v>0</v>
      </c>
      <c r="C256">
        <v>8</v>
      </c>
    </row>
    <row r="257" spans="1:3">
      <c r="A257">
        <v>6.3237013003097626</v>
      </c>
      <c r="B257">
        <v>0</v>
      </c>
      <c r="C257">
        <v>7</v>
      </c>
    </row>
    <row r="258" spans="1:3">
      <c r="A258">
        <v>4.6025095679033363</v>
      </c>
      <c r="B258">
        <v>0</v>
      </c>
      <c r="C258">
        <v>7</v>
      </c>
    </row>
    <row r="259" spans="1:3">
      <c r="A259">
        <v>6.262252274782953</v>
      </c>
      <c r="B259">
        <v>0</v>
      </c>
      <c r="C259">
        <v>5</v>
      </c>
    </row>
    <row r="260" spans="1:3">
      <c r="A260">
        <v>7.0779666049318006</v>
      </c>
      <c r="B260">
        <v>6</v>
      </c>
      <c r="C260">
        <v>0</v>
      </c>
    </row>
    <row r="261" spans="1:3">
      <c r="A261">
        <v>4.2727745923970124</v>
      </c>
      <c r="B261">
        <v>0</v>
      </c>
      <c r="C261">
        <v>8</v>
      </c>
    </row>
    <row r="262" spans="1:3">
      <c r="A262">
        <v>5.8347813727834721</v>
      </c>
      <c r="B262">
        <v>0</v>
      </c>
      <c r="C262">
        <v>7</v>
      </c>
    </row>
    <row r="263" spans="1:3">
      <c r="A263">
        <v>6.4400753216437572</v>
      </c>
      <c r="B263">
        <v>11</v>
      </c>
      <c r="C263">
        <v>0</v>
      </c>
    </row>
    <row r="264" spans="1:3">
      <c r="A264">
        <v>5.8592595679220683</v>
      </c>
      <c r="B264">
        <v>0</v>
      </c>
      <c r="C264">
        <v>7</v>
      </c>
    </row>
    <row r="265" spans="1:3">
      <c r="A265">
        <v>4.0071783427052159</v>
      </c>
      <c r="B265">
        <v>0</v>
      </c>
      <c r="C265">
        <v>6</v>
      </c>
    </row>
    <row r="266" spans="1:3">
      <c r="A266">
        <v>7.7728196471346607</v>
      </c>
      <c r="B266">
        <v>5</v>
      </c>
      <c r="C266">
        <v>0</v>
      </c>
    </row>
    <row r="267" spans="1:3">
      <c r="A267">
        <v>4.1271326772954913</v>
      </c>
      <c r="B267">
        <v>0</v>
      </c>
      <c r="C267">
        <v>7</v>
      </c>
    </row>
    <row r="268" spans="1:3">
      <c r="A268">
        <v>3.7843128831699455</v>
      </c>
      <c r="B268">
        <v>0</v>
      </c>
      <c r="C268">
        <v>8</v>
      </c>
    </row>
    <row r="269" spans="1:3">
      <c r="A269">
        <v>2.116723292358226</v>
      </c>
      <c r="B269">
        <v>17</v>
      </c>
      <c r="C269">
        <v>0</v>
      </c>
    </row>
    <row r="270" spans="1:3">
      <c r="A270">
        <v>7.7558347539039278</v>
      </c>
      <c r="B270">
        <v>8</v>
      </c>
      <c r="C270">
        <v>0</v>
      </c>
    </row>
    <row r="271" spans="1:3">
      <c r="A271">
        <v>5.43774992608473</v>
      </c>
      <c r="B271">
        <v>0</v>
      </c>
      <c r="C271">
        <v>7</v>
      </c>
    </row>
    <row r="272" spans="1:3">
      <c r="A272">
        <v>5.3545943112144352</v>
      </c>
      <c r="B272">
        <v>0</v>
      </c>
      <c r="C272">
        <v>6</v>
      </c>
    </row>
    <row r="273" spans="1:3">
      <c r="A273">
        <v>4.1969883266054833</v>
      </c>
      <c r="B273">
        <v>0</v>
      </c>
      <c r="C273">
        <v>6</v>
      </c>
    </row>
    <row r="274" spans="1:3">
      <c r="A274">
        <v>3.9550190591991736</v>
      </c>
      <c r="B274">
        <v>12</v>
      </c>
      <c r="C274">
        <v>0</v>
      </c>
    </row>
    <row r="275" spans="1:3">
      <c r="A275">
        <v>6.6991108278658249</v>
      </c>
      <c r="B275">
        <v>0</v>
      </c>
      <c r="C275">
        <v>5</v>
      </c>
    </row>
    <row r="276" spans="1:3">
      <c r="A276">
        <v>4.2361023944353047</v>
      </c>
      <c r="B276">
        <v>0</v>
      </c>
      <c r="C276">
        <v>8</v>
      </c>
    </row>
    <row r="277" spans="1:3">
      <c r="A277">
        <v>5.5768129719987458</v>
      </c>
      <c r="B277">
        <v>0</v>
      </c>
      <c r="C277">
        <v>6</v>
      </c>
    </row>
    <row r="278" spans="1:3">
      <c r="A278">
        <v>5.2184433953154148</v>
      </c>
      <c r="B278">
        <v>8</v>
      </c>
      <c r="C278">
        <v>0</v>
      </c>
    </row>
    <row r="279" spans="1:3">
      <c r="A279">
        <v>5.3636160708966631</v>
      </c>
      <c r="B279">
        <v>0</v>
      </c>
      <c r="C279">
        <v>8</v>
      </c>
    </row>
    <row r="280" spans="1:3">
      <c r="A280">
        <v>4.3303949172390794</v>
      </c>
      <c r="B280">
        <v>0</v>
      </c>
      <c r="C280">
        <v>7</v>
      </c>
    </row>
    <row r="281" spans="1:3">
      <c r="A281">
        <v>4.8271743186584022</v>
      </c>
      <c r="B281">
        <v>12</v>
      </c>
      <c r="C281">
        <v>0</v>
      </c>
    </row>
    <row r="282" spans="1:3">
      <c r="A282">
        <v>7.1758559995983981</v>
      </c>
      <c r="B282">
        <v>0</v>
      </c>
      <c r="C282">
        <v>5</v>
      </c>
    </row>
    <row r="283" spans="1:3">
      <c r="A283">
        <v>4.6534930396972358</v>
      </c>
      <c r="B283">
        <v>0</v>
      </c>
      <c r="C283">
        <v>5</v>
      </c>
    </row>
    <row r="284" spans="1:3">
      <c r="A284">
        <v>5.4904956515577394</v>
      </c>
      <c r="B284">
        <v>13</v>
      </c>
      <c r="C284">
        <v>0</v>
      </c>
    </row>
    <row r="285" spans="1:3">
      <c r="A285">
        <v>6.9581905899690515</v>
      </c>
      <c r="B285">
        <v>0</v>
      </c>
      <c r="C285">
        <v>2</v>
      </c>
    </row>
    <row r="286" spans="1:3">
      <c r="A286">
        <v>4.3273068683434426</v>
      </c>
      <c r="B286">
        <v>0</v>
      </c>
      <c r="C286">
        <v>8</v>
      </c>
    </row>
    <row r="287" spans="1:3">
      <c r="A287">
        <v>5.0959160389174958</v>
      </c>
      <c r="B287">
        <v>0</v>
      </c>
      <c r="C287">
        <v>5</v>
      </c>
    </row>
    <row r="288" spans="1:3">
      <c r="A288">
        <v>3.7458926599186477</v>
      </c>
      <c r="B288">
        <v>0</v>
      </c>
      <c r="C288">
        <v>6</v>
      </c>
    </row>
    <row r="289" spans="1:3">
      <c r="A289">
        <v>5.0024701225635821</v>
      </c>
      <c r="B289">
        <v>11</v>
      </c>
      <c r="C289">
        <v>0</v>
      </c>
    </row>
    <row r="290" spans="1:3">
      <c r="A290">
        <v>5.615415830214582</v>
      </c>
      <c r="B290">
        <v>0</v>
      </c>
      <c r="C290">
        <v>6</v>
      </c>
    </row>
    <row r="291" spans="1:3">
      <c r="A291">
        <v>4.1346329563351523</v>
      </c>
      <c r="B291">
        <v>0</v>
      </c>
      <c r="C291">
        <v>8</v>
      </c>
    </row>
    <row r="292" spans="1:3">
      <c r="A292">
        <v>12.40727547013983</v>
      </c>
      <c r="B292">
        <v>0</v>
      </c>
      <c r="C292">
        <v>2</v>
      </c>
    </row>
    <row r="293" spans="1:3">
      <c r="A293">
        <v>5.6402471438758788</v>
      </c>
      <c r="B293">
        <v>0</v>
      </c>
      <c r="C293">
        <v>4</v>
      </c>
    </row>
    <row r="294" spans="1:3">
      <c r="A294">
        <v>5.9784348698086509</v>
      </c>
      <c r="B294">
        <v>0</v>
      </c>
      <c r="C294">
        <v>6</v>
      </c>
    </row>
    <row r="295" spans="1:3">
      <c r="A295">
        <v>5.8429732237601177</v>
      </c>
      <c r="B295">
        <v>9</v>
      </c>
      <c r="C295">
        <v>0</v>
      </c>
    </row>
    <row r="296" spans="1:3">
      <c r="A296">
        <v>3.8587554709902423</v>
      </c>
      <c r="B296">
        <v>0</v>
      </c>
      <c r="C296">
        <v>8</v>
      </c>
    </row>
    <row r="297" spans="1:3">
      <c r="A297">
        <v>10.420121808880277</v>
      </c>
      <c r="B297">
        <v>4</v>
      </c>
      <c r="C297">
        <v>0</v>
      </c>
    </row>
    <row r="298" spans="1:3">
      <c r="A298">
        <v>6.4556584416508587</v>
      </c>
      <c r="B298">
        <v>0</v>
      </c>
      <c r="C298">
        <v>6</v>
      </c>
    </row>
    <row r="299" spans="1:3">
      <c r="A299">
        <v>6.9160727332482228</v>
      </c>
      <c r="B299">
        <v>0</v>
      </c>
      <c r="C299">
        <v>5</v>
      </c>
    </row>
    <row r="300" spans="1:3">
      <c r="A300">
        <v>6.2358982818541033</v>
      </c>
      <c r="B300">
        <v>0</v>
      </c>
      <c r="C300">
        <v>6</v>
      </c>
    </row>
    <row r="301" spans="1:3">
      <c r="A301">
        <v>6.1108199387529432</v>
      </c>
      <c r="B301">
        <v>0</v>
      </c>
      <c r="C301">
        <v>4</v>
      </c>
    </row>
    <row r="302" spans="1:3">
      <c r="A302">
        <v>8.658178265173202</v>
      </c>
      <c r="B302">
        <v>0</v>
      </c>
      <c r="C302">
        <v>4</v>
      </c>
    </row>
    <row r="303" spans="1:3">
      <c r="A303">
        <v>4.4861975068750199</v>
      </c>
      <c r="B303">
        <v>0</v>
      </c>
      <c r="C303">
        <v>8</v>
      </c>
    </row>
    <row r="304" spans="1:3">
      <c r="A304">
        <v>6.9492100117920046</v>
      </c>
      <c r="B304">
        <v>0</v>
      </c>
      <c r="C304">
        <v>5</v>
      </c>
    </row>
    <row r="305" spans="1:3">
      <c r="A305">
        <v>4.5007029246273742</v>
      </c>
      <c r="B305">
        <v>0</v>
      </c>
      <c r="C305">
        <v>8</v>
      </c>
    </row>
    <row r="306" spans="1:3">
      <c r="A306">
        <v>5.8343988404056395</v>
      </c>
      <c r="B306">
        <v>0</v>
      </c>
      <c r="C306">
        <v>6</v>
      </c>
    </row>
    <row r="307" spans="1:3">
      <c r="A307">
        <v>2.4283541339335732</v>
      </c>
      <c r="B307">
        <v>17</v>
      </c>
      <c r="C307">
        <v>0</v>
      </c>
    </row>
    <row r="308" spans="1:3">
      <c r="A308">
        <v>8.3287871187273197</v>
      </c>
      <c r="B308">
        <v>0</v>
      </c>
      <c r="C308">
        <v>3</v>
      </c>
    </row>
    <row r="309" spans="1:3">
      <c r="A309">
        <v>3.0095423378443531</v>
      </c>
      <c r="B309">
        <v>0</v>
      </c>
      <c r="C309">
        <v>8</v>
      </c>
    </row>
    <row r="310" spans="1:3">
      <c r="A310">
        <v>4.6810945574558298</v>
      </c>
      <c r="B310">
        <v>0</v>
      </c>
      <c r="C310">
        <v>9</v>
      </c>
    </row>
    <row r="311" spans="1:3">
      <c r="A311">
        <v>3.214604333672531</v>
      </c>
      <c r="B311">
        <v>0</v>
      </c>
      <c r="C311">
        <v>8</v>
      </c>
    </row>
    <row r="312" spans="1:3">
      <c r="A312">
        <v>6.3244012219133818</v>
      </c>
      <c r="B312">
        <v>0</v>
      </c>
      <c r="C312">
        <v>3</v>
      </c>
    </row>
    <row r="313" spans="1:3">
      <c r="A313">
        <v>4.5905718310876731</v>
      </c>
      <c r="B313">
        <v>0</v>
      </c>
      <c r="C313">
        <v>7</v>
      </c>
    </row>
    <row r="314" spans="1:3">
      <c r="A314">
        <v>4.8537887238688588</v>
      </c>
      <c r="B314">
        <v>0</v>
      </c>
      <c r="C314">
        <v>8</v>
      </c>
    </row>
    <row r="315" spans="1:3">
      <c r="A315">
        <v>8.0609338678677158</v>
      </c>
      <c r="B315">
        <v>9</v>
      </c>
      <c r="C315">
        <v>0</v>
      </c>
    </row>
    <row r="316" spans="1:3">
      <c r="A316">
        <v>5.6619316630828456</v>
      </c>
      <c r="B316">
        <v>0</v>
      </c>
      <c r="C316">
        <v>6</v>
      </c>
    </row>
    <row r="317" spans="1:3">
      <c r="A317">
        <v>6.918834671931549</v>
      </c>
      <c r="B317">
        <v>0</v>
      </c>
      <c r="C317">
        <v>6</v>
      </c>
    </row>
    <row r="318" spans="1:3">
      <c r="A318">
        <v>4.9729424716447266</v>
      </c>
      <c r="B318">
        <v>0</v>
      </c>
      <c r="C318">
        <v>6</v>
      </c>
    </row>
    <row r="319" spans="1:3">
      <c r="A319">
        <v>5.468520930400949</v>
      </c>
      <c r="B319">
        <v>12</v>
      </c>
      <c r="C319">
        <v>0</v>
      </c>
    </row>
    <row r="320" spans="1:3">
      <c r="A320">
        <v>2.9585858529518694</v>
      </c>
      <c r="B320">
        <v>0</v>
      </c>
      <c r="C320">
        <v>8</v>
      </c>
    </row>
    <row r="321" spans="1:3">
      <c r="A321">
        <v>11.639542061776961</v>
      </c>
      <c r="B321">
        <v>0</v>
      </c>
      <c r="C321">
        <v>1</v>
      </c>
    </row>
    <row r="322" spans="1:3">
      <c r="A322">
        <v>5.0066893959077747</v>
      </c>
      <c r="B322">
        <v>11</v>
      </c>
      <c r="C322">
        <v>0</v>
      </c>
    </row>
    <row r="323" spans="1:3">
      <c r="A323">
        <v>6.6500343529379471</v>
      </c>
      <c r="B323">
        <v>0</v>
      </c>
      <c r="C323">
        <v>5</v>
      </c>
    </row>
    <row r="324" spans="1:3">
      <c r="A324">
        <v>4.6066808052467563</v>
      </c>
      <c r="B324">
        <v>0</v>
      </c>
      <c r="C324">
        <v>7</v>
      </c>
    </row>
    <row r="325" spans="1:3">
      <c r="A325">
        <v>4.1559277036523712</v>
      </c>
      <c r="B325">
        <v>0</v>
      </c>
      <c r="C325">
        <v>7</v>
      </c>
    </row>
    <row r="326" spans="1:3">
      <c r="A326">
        <v>3.406933750374328</v>
      </c>
      <c r="B326">
        <v>12</v>
      </c>
      <c r="C326">
        <v>0</v>
      </c>
    </row>
    <row r="327" spans="1:3">
      <c r="A327">
        <v>5.9238572711038895</v>
      </c>
      <c r="B327">
        <v>0</v>
      </c>
      <c r="C327">
        <v>6</v>
      </c>
    </row>
    <row r="328" spans="1:3">
      <c r="A328">
        <v>2.9079556186568607</v>
      </c>
      <c r="B328">
        <v>14</v>
      </c>
      <c r="C328">
        <v>0</v>
      </c>
    </row>
    <row r="329" spans="1:3">
      <c r="A329">
        <v>3.6920831484452337</v>
      </c>
      <c r="B329">
        <v>0</v>
      </c>
      <c r="C329">
        <v>8</v>
      </c>
    </row>
    <row r="330" spans="1:3">
      <c r="A330">
        <v>3.5792668174058146</v>
      </c>
      <c r="B330">
        <v>7</v>
      </c>
      <c r="C330">
        <v>0</v>
      </c>
    </row>
    <row r="331" spans="1:3">
      <c r="A331">
        <v>2.398905625316174</v>
      </c>
      <c r="B331">
        <v>19</v>
      </c>
      <c r="C331">
        <v>0</v>
      </c>
    </row>
    <row r="332" spans="1:3">
      <c r="A332">
        <v>3.7214980537318905</v>
      </c>
      <c r="B332">
        <v>16</v>
      </c>
      <c r="C332">
        <v>0</v>
      </c>
    </row>
    <row r="333" spans="1:3">
      <c r="A333">
        <v>5.6438255356312013</v>
      </c>
      <c r="B333">
        <v>0</v>
      </c>
      <c r="C333">
        <v>6</v>
      </c>
    </row>
    <row r="334" spans="1:3">
      <c r="A334">
        <v>6.0222237484291323</v>
      </c>
      <c r="B334">
        <v>0</v>
      </c>
      <c r="C334">
        <v>4</v>
      </c>
    </row>
    <row r="335" spans="1:3">
      <c r="A335">
        <v>7.4338273432104263</v>
      </c>
      <c r="B335">
        <v>0</v>
      </c>
      <c r="C335">
        <v>3</v>
      </c>
    </row>
    <row r="336" spans="1:3">
      <c r="A336">
        <v>4.6574844215632822</v>
      </c>
      <c r="B336">
        <v>14</v>
      </c>
      <c r="C336">
        <v>0</v>
      </c>
    </row>
    <row r="337" spans="1:3">
      <c r="A337">
        <v>4.1381428516844307</v>
      </c>
      <c r="B337">
        <v>9</v>
      </c>
      <c r="C337">
        <v>0</v>
      </c>
    </row>
    <row r="338" spans="1:3">
      <c r="A338">
        <v>5.6442639513915536</v>
      </c>
      <c r="B338">
        <v>9</v>
      </c>
      <c r="C338">
        <v>0</v>
      </c>
    </row>
    <row r="339" spans="1:3">
      <c r="A339">
        <v>4.9974825860949199</v>
      </c>
      <c r="B339">
        <v>10</v>
      </c>
      <c r="C339">
        <v>0</v>
      </c>
    </row>
    <row r="340" spans="1:3">
      <c r="A340">
        <v>5.3835921244443741</v>
      </c>
      <c r="B340">
        <v>0</v>
      </c>
      <c r="C340">
        <v>6</v>
      </c>
    </row>
    <row r="341" spans="1:3">
      <c r="A341">
        <v>7.5994556007134619</v>
      </c>
      <c r="B341">
        <v>0</v>
      </c>
      <c r="C341">
        <v>4</v>
      </c>
    </row>
    <row r="342" spans="1:3">
      <c r="A342">
        <v>7.6645821524390856</v>
      </c>
      <c r="B342">
        <v>0</v>
      </c>
      <c r="C342">
        <v>4</v>
      </c>
    </row>
    <row r="343" spans="1:3">
      <c r="A343">
        <v>5.5433707557445828</v>
      </c>
      <c r="B343">
        <v>0</v>
      </c>
      <c r="C343">
        <v>6</v>
      </c>
    </row>
    <row r="344" spans="1:3">
      <c r="A344">
        <v>6.8217853069484375</v>
      </c>
      <c r="B344">
        <v>0</v>
      </c>
      <c r="C344">
        <v>5</v>
      </c>
    </row>
    <row r="345" spans="1:3">
      <c r="A345">
        <v>3.7858173901503238</v>
      </c>
      <c r="B345">
        <v>0</v>
      </c>
      <c r="C345">
        <v>9</v>
      </c>
    </row>
    <row r="346" spans="1:3">
      <c r="A346">
        <v>5.6292145755794021</v>
      </c>
      <c r="B346">
        <v>0</v>
      </c>
      <c r="C346">
        <v>8</v>
      </c>
    </row>
    <row r="347" spans="1:3">
      <c r="A347">
        <v>5.6856099573215326</v>
      </c>
      <c r="B347">
        <v>5</v>
      </c>
      <c r="C347">
        <v>0</v>
      </c>
    </row>
    <row r="348" spans="1:3">
      <c r="A348">
        <v>3.2511037528287363</v>
      </c>
      <c r="B348">
        <v>0</v>
      </c>
      <c r="C348">
        <v>8</v>
      </c>
    </row>
    <row r="349" spans="1:3">
      <c r="A349">
        <v>6.4375107752921563</v>
      </c>
      <c r="B349">
        <v>0</v>
      </c>
      <c r="C349">
        <v>5</v>
      </c>
    </row>
    <row r="350" spans="1:3">
      <c r="A350">
        <v>4.7796359609514996</v>
      </c>
      <c r="B350">
        <v>0</v>
      </c>
      <c r="C350">
        <v>5</v>
      </c>
    </row>
    <row r="351" spans="1:3">
      <c r="A351">
        <v>3.5510807668430808</v>
      </c>
      <c r="B351">
        <v>0</v>
      </c>
      <c r="C351">
        <v>9</v>
      </c>
    </row>
    <row r="352" spans="1:3">
      <c r="A352">
        <v>3.3168158521525655</v>
      </c>
      <c r="B352">
        <v>0</v>
      </c>
      <c r="C352">
        <v>8</v>
      </c>
    </row>
    <row r="353" spans="1:3">
      <c r="A353">
        <v>5.768091079741458</v>
      </c>
      <c r="B353">
        <v>0</v>
      </c>
      <c r="C353">
        <v>5</v>
      </c>
    </row>
    <row r="354" spans="1:3">
      <c r="A354">
        <v>16.229741659828036</v>
      </c>
      <c r="B354">
        <v>0</v>
      </c>
      <c r="C354">
        <v>1</v>
      </c>
    </row>
    <row r="355" spans="1:3">
      <c r="A355">
        <v>8.8921490687336942</v>
      </c>
      <c r="B355">
        <v>0</v>
      </c>
      <c r="C355">
        <v>3</v>
      </c>
    </row>
    <row r="356" spans="1:3">
      <c r="A356">
        <v>3.6367686550257106</v>
      </c>
      <c r="B356">
        <v>0</v>
      </c>
      <c r="C356">
        <v>8</v>
      </c>
    </row>
    <row r="357" spans="1:3">
      <c r="A357">
        <v>4.3321009944306104</v>
      </c>
      <c r="B357">
        <v>0</v>
      </c>
      <c r="C357">
        <v>6</v>
      </c>
    </row>
    <row r="358" spans="1:3">
      <c r="A358">
        <v>5.4343543370225511</v>
      </c>
      <c r="B358">
        <v>9</v>
      </c>
      <c r="C358">
        <v>0</v>
      </c>
    </row>
    <row r="359" spans="1:3">
      <c r="A359">
        <v>4.0429448955993141</v>
      </c>
      <c r="B359">
        <v>0</v>
      </c>
      <c r="C359">
        <v>8</v>
      </c>
    </row>
    <row r="360" spans="1:3">
      <c r="A360">
        <v>9.4738573809764937</v>
      </c>
      <c r="B360">
        <v>6</v>
      </c>
      <c r="C360">
        <v>0</v>
      </c>
    </row>
    <row r="361" spans="1:3">
      <c r="A361">
        <v>6.7411158175617523</v>
      </c>
      <c r="B361">
        <v>0</v>
      </c>
      <c r="C361">
        <v>4</v>
      </c>
    </row>
    <row r="362" spans="1:3">
      <c r="A362">
        <v>6.4178078798093594</v>
      </c>
      <c r="B362">
        <v>0</v>
      </c>
      <c r="C362">
        <v>9</v>
      </c>
    </row>
    <row r="363" spans="1:3">
      <c r="A363">
        <v>4.9411024193489705</v>
      </c>
      <c r="B363">
        <v>0</v>
      </c>
      <c r="C363">
        <v>5</v>
      </c>
    </row>
    <row r="364" spans="1:3">
      <c r="A364">
        <v>5.1670390218672368</v>
      </c>
      <c r="B364">
        <v>0</v>
      </c>
      <c r="C364">
        <v>7</v>
      </c>
    </row>
    <row r="365" spans="1:3">
      <c r="A365">
        <v>7.0495331097213132</v>
      </c>
      <c r="B365">
        <v>7</v>
      </c>
      <c r="C365">
        <v>0</v>
      </c>
    </row>
    <row r="366" spans="1:3">
      <c r="A366">
        <v>4.4653730543318169</v>
      </c>
      <c r="B366">
        <v>0</v>
      </c>
      <c r="C366">
        <v>8</v>
      </c>
    </row>
    <row r="367" spans="1:3">
      <c r="A367">
        <v>6.7761210564102052</v>
      </c>
      <c r="B367">
        <v>0</v>
      </c>
      <c r="C367">
        <v>5</v>
      </c>
    </row>
    <row r="368" spans="1:3">
      <c r="A368">
        <v>7.0710401214482808</v>
      </c>
      <c r="B368">
        <v>0</v>
      </c>
      <c r="C368">
        <v>6</v>
      </c>
    </row>
    <row r="369" spans="1:3">
      <c r="A369">
        <v>7.856292671202203</v>
      </c>
      <c r="B369">
        <v>0</v>
      </c>
      <c r="C369">
        <v>4</v>
      </c>
    </row>
    <row r="370" spans="1:3">
      <c r="A370">
        <v>4.0788793735584434</v>
      </c>
      <c r="B370">
        <v>0</v>
      </c>
      <c r="C370">
        <v>9</v>
      </c>
    </row>
    <row r="371" spans="1:3">
      <c r="A371">
        <v>4.0673393662307946</v>
      </c>
      <c r="B371">
        <v>0</v>
      </c>
      <c r="C371">
        <v>10</v>
      </c>
    </row>
    <row r="372" spans="1:3">
      <c r="A372">
        <v>4.0630417970612864</v>
      </c>
      <c r="B372">
        <v>0</v>
      </c>
      <c r="C372">
        <v>7</v>
      </c>
    </row>
    <row r="373" spans="1:3">
      <c r="A373">
        <v>4.5794083022499565</v>
      </c>
      <c r="B373">
        <v>0</v>
      </c>
      <c r="C373">
        <v>6</v>
      </c>
    </row>
    <row r="374" spans="1:3">
      <c r="A374">
        <v>6.7467385018168473</v>
      </c>
      <c r="B374">
        <v>0</v>
      </c>
      <c r="C374">
        <v>7</v>
      </c>
    </row>
    <row r="375" spans="1:3">
      <c r="A375">
        <v>10.213997661157435</v>
      </c>
      <c r="B375">
        <v>0</v>
      </c>
      <c r="C375">
        <v>1</v>
      </c>
    </row>
    <row r="376" spans="1:3">
      <c r="A376">
        <v>2.3700049112039392</v>
      </c>
      <c r="B376">
        <v>0</v>
      </c>
      <c r="C376">
        <v>10</v>
      </c>
    </row>
    <row r="377" spans="1:3">
      <c r="A377">
        <v>3.7491370589935387</v>
      </c>
      <c r="B377">
        <v>0</v>
      </c>
      <c r="C377">
        <v>5</v>
      </c>
    </row>
    <row r="378" spans="1:3">
      <c r="A378">
        <v>5.8400282194882287</v>
      </c>
      <c r="B378">
        <v>11</v>
      </c>
      <c r="C378">
        <v>0</v>
      </c>
    </row>
    <row r="379" spans="1:3">
      <c r="A379">
        <v>4.5537698019946777</v>
      </c>
      <c r="B379">
        <v>0</v>
      </c>
      <c r="C379">
        <v>5</v>
      </c>
    </row>
    <row r="380" spans="1:3">
      <c r="A380">
        <v>11.785924171151537</v>
      </c>
      <c r="B380">
        <v>0</v>
      </c>
      <c r="C380">
        <v>1</v>
      </c>
    </row>
    <row r="381" spans="1:3">
      <c r="A381">
        <v>4.4440081250494767</v>
      </c>
      <c r="B381">
        <v>11</v>
      </c>
      <c r="C381">
        <v>0</v>
      </c>
    </row>
    <row r="382" spans="1:3">
      <c r="A382">
        <v>6.1795161729403123</v>
      </c>
      <c r="B382">
        <v>0</v>
      </c>
      <c r="C382">
        <v>6</v>
      </c>
    </row>
    <row r="383" spans="1:3">
      <c r="A383">
        <v>5.5005341177955556</v>
      </c>
      <c r="B383">
        <v>0</v>
      </c>
      <c r="C383">
        <v>7</v>
      </c>
    </row>
    <row r="384" spans="1:3">
      <c r="A384">
        <v>5.4317015276196923</v>
      </c>
      <c r="B384">
        <v>0</v>
      </c>
      <c r="C384">
        <v>6</v>
      </c>
    </row>
    <row r="385" spans="1:3">
      <c r="A385">
        <v>2.0698053243502668</v>
      </c>
      <c r="B385">
        <v>0</v>
      </c>
      <c r="C385">
        <v>8</v>
      </c>
    </row>
    <row r="386" spans="1:3">
      <c r="A386">
        <v>5.0079762542104618</v>
      </c>
      <c r="B386">
        <v>0</v>
      </c>
      <c r="C386">
        <v>6</v>
      </c>
    </row>
    <row r="387" spans="1:3">
      <c r="A387">
        <v>5.9001799459390085</v>
      </c>
      <c r="B387">
        <v>0</v>
      </c>
      <c r="C387">
        <v>5</v>
      </c>
    </row>
    <row r="388" spans="1:3">
      <c r="A388">
        <v>2.6625188080187385</v>
      </c>
      <c r="B388">
        <v>0</v>
      </c>
      <c r="C388">
        <v>9</v>
      </c>
    </row>
    <row r="389" spans="1:3">
      <c r="A389">
        <v>4.7797505480254854</v>
      </c>
      <c r="B389">
        <v>13</v>
      </c>
      <c r="C389">
        <v>0</v>
      </c>
    </row>
    <row r="390" spans="1:3">
      <c r="A390">
        <v>12.619575644651281</v>
      </c>
      <c r="B390">
        <v>0</v>
      </c>
      <c r="C390">
        <v>2</v>
      </c>
    </row>
    <row r="391" spans="1:3">
      <c r="A391">
        <v>4.3279933182885841</v>
      </c>
      <c r="B391">
        <v>0</v>
      </c>
      <c r="C391">
        <v>7</v>
      </c>
    </row>
    <row r="392" spans="1:3">
      <c r="A392">
        <v>4.858959551008418</v>
      </c>
      <c r="B392">
        <v>17</v>
      </c>
      <c r="C392">
        <v>0</v>
      </c>
    </row>
    <row r="393" spans="1:3">
      <c r="A393">
        <v>5.807207254567599</v>
      </c>
      <c r="B393">
        <v>14</v>
      </c>
      <c r="C393">
        <v>0</v>
      </c>
    </row>
    <row r="394" spans="1:3">
      <c r="A394">
        <v>4.4405416348711144</v>
      </c>
      <c r="B394">
        <v>0</v>
      </c>
      <c r="C394">
        <v>8</v>
      </c>
    </row>
    <row r="395" spans="1:3">
      <c r="A395">
        <v>2.5576698213319045</v>
      </c>
      <c r="B395">
        <v>18</v>
      </c>
      <c r="C395">
        <v>0</v>
      </c>
    </row>
    <row r="396" spans="1:3">
      <c r="A396">
        <v>5.8488860674656653</v>
      </c>
      <c r="B396">
        <v>0</v>
      </c>
      <c r="C396">
        <v>4</v>
      </c>
    </row>
    <row r="397" spans="1:3">
      <c r="A397">
        <v>4.9866824541094443</v>
      </c>
      <c r="B397">
        <v>0</v>
      </c>
      <c r="C397">
        <v>8</v>
      </c>
    </row>
    <row r="398" spans="1:3">
      <c r="A398">
        <v>11.204950239738318</v>
      </c>
      <c r="B398">
        <v>0</v>
      </c>
      <c r="C398">
        <v>2</v>
      </c>
    </row>
    <row r="399" spans="1:3">
      <c r="A399">
        <v>3.9414006921220963</v>
      </c>
      <c r="B399">
        <v>0</v>
      </c>
      <c r="C399">
        <v>6</v>
      </c>
    </row>
    <row r="400" spans="1:3">
      <c r="A400">
        <v>8.9771964772335817</v>
      </c>
      <c r="B400">
        <v>0</v>
      </c>
      <c r="C400">
        <v>3</v>
      </c>
    </row>
    <row r="401" spans="1:3">
      <c r="A401">
        <v>5.3326982840921904</v>
      </c>
      <c r="B401">
        <v>9</v>
      </c>
      <c r="C401">
        <v>0</v>
      </c>
    </row>
    <row r="402" spans="1:3">
      <c r="A402">
        <v>3.6602028496857906</v>
      </c>
      <c r="B402">
        <v>0</v>
      </c>
      <c r="C402">
        <v>7</v>
      </c>
    </row>
    <row r="403" spans="1:3">
      <c r="A403">
        <v>2.4977358409306336</v>
      </c>
      <c r="B403">
        <v>0</v>
      </c>
      <c r="C403">
        <v>10</v>
      </c>
    </row>
    <row r="404" spans="1:3">
      <c r="A404">
        <v>5.9925622959813039</v>
      </c>
      <c r="B404">
        <v>0</v>
      </c>
      <c r="C404">
        <v>3</v>
      </c>
    </row>
    <row r="405" spans="1:3">
      <c r="A405">
        <v>5.7065228648986617</v>
      </c>
      <c r="B405">
        <v>10</v>
      </c>
      <c r="C405">
        <v>0</v>
      </c>
    </row>
    <row r="406" spans="1:3">
      <c r="A406">
        <v>4.9222029199681421</v>
      </c>
      <c r="B406">
        <v>0</v>
      </c>
      <c r="C406">
        <v>4</v>
      </c>
    </row>
    <row r="407" spans="1:3">
      <c r="A407">
        <v>3.8393271871161803</v>
      </c>
      <c r="B407">
        <v>0</v>
      </c>
      <c r="C407">
        <v>9</v>
      </c>
    </row>
    <row r="408" spans="1:3">
      <c r="A408">
        <v>2.1994560683632094</v>
      </c>
      <c r="B408">
        <v>15</v>
      </c>
      <c r="C408">
        <v>0</v>
      </c>
    </row>
    <row r="409" spans="1:3">
      <c r="A409">
        <v>1.6282701636800103</v>
      </c>
      <c r="B409">
        <v>19</v>
      </c>
      <c r="C409">
        <v>0</v>
      </c>
    </row>
    <row r="410" spans="1:3">
      <c r="A410">
        <v>4.9566843540152119</v>
      </c>
      <c r="B410">
        <v>0</v>
      </c>
      <c r="C410">
        <v>7</v>
      </c>
    </row>
    <row r="411" spans="1:3">
      <c r="A411">
        <v>5.6441933415986147</v>
      </c>
      <c r="B411">
        <v>0</v>
      </c>
      <c r="C411">
        <v>6</v>
      </c>
    </row>
    <row r="412" spans="1:3">
      <c r="A412">
        <v>2.7651209515929533</v>
      </c>
      <c r="B412">
        <v>0</v>
      </c>
      <c r="C412">
        <v>10</v>
      </c>
    </row>
    <row r="413" spans="1:3">
      <c r="A413">
        <v>5.1181360448801669</v>
      </c>
      <c r="B413">
        <v>0</v>
      </c>
      <c r="C413">
        <v>6</v>
      </c>
    </row>
    <row r="414" spans="1:3">
      <c r="A414">
        <v>8.4028729944643956</v>
      </c>
      <c r="B414">
        <v>6</v>
      </c>
      <c r="C414">
        <v>0</v>
      </c>
    </row>
    <row r="415" spans="1:3">
      <c r="A415">
        <v>8.9178895099409825</v>
      </c>
      <c r="B415">
        <v>0</v>
      </c>
      <c r="C415">
        <v>5</v>
      </c>
    </row>
    <row r="416" spans="1:3">
      <c r="A416">
        <v>2.0342605111054772</v>
      </c>
      <c r="B416">
        <v>14</v>
      </c>
      <c r="C416">
        <v>0</v>
      </c>
    </row>
    <row r="417" spans="1:3">
      <c r="A417">
        <v>5.0360762625452677</v>
      </c>
      <c r="B417">
        <v>0</v>
      </c>
      <c r="C417">
        <v>6</v>
      </c>
    </row>
    <row r="418" spans="1:3">
      <c r="A418">
        <v>7.9340993732084906</v>
      </c>
      <c r="B418">
        <v>4</v>
      </c>
      <c r="C418">
        <v>0</v>
      </c>
    </row>
    <row r="419" spans="1:3">
      <c r="A419">
        <v>5.3280651294602475</v>
      </c>
      <c r="B419">
        <v>0</v>
      </c>
      <c r="C419">
        <v>7</v>
      </c>
    </row>
    <row r="420" spans="1:3">
      <c r="A420">
        <v>7.8826015098879108</v>
      </c>
      <c r="B420">
        <v>0</v>
      </c>
      <c r="C420">
        <v>2</v>
      </c>
    </row>
    <row r="421" spans="1:3">
      <c r="A421">
        <v>2.0546563953138057</v>
      </c>
      <c r="B421">
        <v>15</v>
      </c>
      <c r="C421">
        <v>0</v>
      </c>
    </row>
    <row r="422" spans="1:3">
      <c r="A422">
        <v>5.600405534797253</v>
      </c>
      <c r="B422">
        <v>0</v>
      </c>
      <c r="C422">
        <v>6</v>
      </c>
    </row>
    <row r="423" spans="1:3">
      <c r="A423">
        <v>12.767432481873564</v>
      </c>
      <c r="B423">
        <v>0</v>
      </c>
      <c r="C423">
        <v>1</v>
      </c>
    </row>
    <row r="424" spans="1:3">
      <c r="A424">
        <v>10.389023826343344</v>
      </c>
      <c r="B424">
        <v>0</v>
      </c>
      <c r="C424">
        <v>3</v>
      </c>
    </row>
    <row r="425" spans="1:3">
      <c r="A425">
        <v>4.848564350899645</v>
      </c>
      <c r="B425">
        <v>0</v>
      </c>
      <c r="C425">
        <v>7</v>
      </c>
    </row>
    <row r="426" spans="1:3">
      <c r="A426">
        <v>6.5553743837615785</v>
      </c>
      <c r="B426">
        <v>0</v>
      </c>
      <c r="C426">
        <v>6</v>
      </c>
    </row>
    <row r="427" spans="1:3">
      <c r="A427">
        <v>4.552798585752651</v>
      </c>
      <c r="B427">
        <v>0</v>
      </c>
      <c r="C427">
        <v>8</v>
      </c>
    </row>
    <row r="428" spans="1:3">
      <c r="A428">
        <v>13.117180900295661</v>
      </c>
      <c r="B428">
        <v>3</v>
      </c>
      <c r="C428">
        <v>0</v>
      </c>
    </row>
    <row r="429" spans="1:3">
      <c r="A429">
        <v>2.7392859072186853</v>
      </c>
      <c r="B429">
        <v>14</v>
      </c>
      <c r="C429">
        <v>0</v>
      </c>
    </row>
    <row r="430" spans="1:3">
      <c r="A430">
        <v>5.5782664387499388</v>
      </c>
      <c r="B430">
        <v>0</v>
      </c>
      <c r="C430">
        <v>6</v>
      </c>
    </row>
    <row r="431" spans="1:3">
      <c r="A431">
        <v>5.1459286909103907</v>
      </c>
      <c r="B431">
        <v>0</v>
      </c>
      <c r="C431">
        <v>6</v>
      </c>
    </row>
    <row r="432" spans="1:3">
      <c r="A432">
        <v>11.558977957572484</v>
      </c>
      <c r="B432">
        <v>5</v>
      </c>
      <c r="C432">
        <v>0</v>
      </c>
    </row>
    <row r="433" spans="1:3">
      <c r="A433">
        <v>3.6531809629540781</v>
      </c>
      <c r="B433">
        <v>15</v>
      </c>
      <c r="C433">
        <v>0</v>
      </c>
    </row>
    <row r="434" spans="1:3">
      <c r="A434">
        <v>7.2779514915771895</v>
      </c>
      <c r="B434">
        <v>0</v>
      </c>
      <c r="C434">
        <v>2</v>
      </c>
    </row>
    <row r="435" spans="1:3">
      <c r="A435">
        <v>8.0293598787043265</v>
      </c>
      <c r="B435">
        <v>9</v>
      </c>
      <c r="C435">
        <v>0</v>
      </c>
    </row>
    <row r="436" spans="1:3">
      <c r="A436">
        <v>7.9657820578040814</v>
      </c>
      <c r="B436">
        <v>13</v>
      </c>
      <c r="C436">
        <v>0</v>
      </c>
    </row>
    <row r="437" spans="1:3">
      <c r="A437">
        <v>4.9451627125253248</v>
      </c>
      <c r="B437">
        <v>0</v>
      </c>
      <c r="C437">
        <v>8</v>
      </c>
    </row>
    <row r="438" spans="1:3">
      <c r="A438">
        <v>6.3787018443090568</v>
      </c>
      <c r="B438">
        <v>0</v>
      </c>
      <c r="C438">
        <v>5</v>
      </c>
    </row>
    <row r="439" spans="1:3">
      <c r="A439">
        <v>3.5207323853983286</v>
      </c>
      <c r="B439">
        <v>0</v>
      </c>
      <c r="C439">
        <v>6</v>
      </c>
    </row>
    <row r="440" spans="1:3">
      <c r="A440">
        <v>8.5801999710411554</v>
      </c>
      <c r="B440">
        <v>0</v>
      </c>
      <c r="C440">
        <v>5</v>
      </c>
    </row>
    <row r="441" spans="1:3">
      <c r="A441">
        <v>2.934902782934206</v>
      </c>
      <c r="B441">
        <v>0</v>
      </c>
      <c r="C441">
        <v>7</v>
      </c>
    </row>
    <row r="442" spans="1:3">
      <c r="A442">
        <v>10.858958153282718</v>
      </c>
      <c r="B442">
        <v>0</v>
      </c>
      <c r="C442">
        <v>3</v>
      </c>
    </row>
    <row r="443" spans="1:3">
      <c r="A443">
        <v>6.8171721694301688</v>
      </c>
      <c r="B443">
        <v>6</v>
      </c>
      <c r="C443">
        <v>0</v>
      </c>
    </row>
    <row r="444" spans="1:3">
      <c r="A444">
        <v>4.7444369973137519</v>
      </c>
      <c r="B444">
        <v>9</v>
      </c>
      <c r="C444">
        <v>0</v>
      </c>
    </row>
    <row r="445" spans="1:3">
      <c r="A445">
        <v>4.3834706913956287</v>
      </c>
      <c r="B445">
        <v>0</v>
      </c>
      <c r="C445">
        <v>8</v>
      </c>
    </row>
    <row r="446" spans="1:3">
      <c r="A446">
        <v>6.9447928870974716</v>
      </c>
      <c r="B446">
        <v>0</v>
      </c>
      <c r="C446">
        <v>6</v>
      </c>
    </row>
    <row r="447" spans="1:3">
      <c r="A447">
        <v>4.7365769978244368</v>
      </c>
      <c r="B447">
        <v>0</v>
      </c>
      <c r="C447">
        <v>7</v>
      </c>
    </row>
    <row r="448" spans="1:3">
      <c r="A448">
        <v>3.8096979236203472</v>
      </c>
      <c r="B448">
        <v>12</v>
      </c>
      <c r="C448">
        <v>0</v>
      </c>
    </row>
    <row r="449" spans="1:3">
      <c r="A449">
        <v>4.9110088611132614</v>
      </c>
      <c r="B449">
        <v>0</v>
      </c>
      <c r="C449">
        <v>6</v>
      </c>
    </row>
    <row r="450" spans="1:3">
      <c r="A450">
        <v>6.6210109935863981</v>
      </c>
      <c r="B450">
        <v>0</v>
      </c>
      <c r="C450">
        <v>1</v>
      </c>
    </row>
    <row r="451" spans="1:3">
      <c r="A451">
        <v>4.5665815695509346</v>
      </c>
      <c r="B451">
        <v>0</v>
      </c>
      <c r="C451">
        <v>7</v>
      </c>
    </row>
    <row r="452" spans="1:3">
      <c r="A452">
        <v>8.6752295234375829</v>
      </c>
      <c r="B452">
        <v>11</v>
      </c>
      <c r="C452">
        <v>0</v>
      </c>
    </row>
    <row r="453" spans="1:3">
      <c r="A453">
        <v>5.9380908423374503</v>
      </c>
      <c r="B453">
        <v>0</v>
      </c>
      <c r="C453">
        <v>7</v>
      </c>
    </row>
    <row r="454" spans="1:3">
      <c r="A454">
        <v>5.1740503113304035</v>
      </c>
      <c r="B454">
        <v>0</v>
      </c>
      <c r="C454">
        <v>7</v>
      </c>
    </row>
    <row r="455" spans="1:3">
      <c r="A455">
        <v>4.4776832408126221</v>
      </c>
      <c r="B455">
        <v>0</v>
      </c>
      <c r="C455">
        <v>7</v>
      </c>
    </row>
    <row r="456" spans="1:3">
      <c r="A456">
        <v>3.7737770258841228</v>
      </c>
      <c r="B456">
        <v>0</v>
      </c>
      <c r="C456">
        <v>6</v>
      </c>
    </row>
    <row r="457" spans="1:3">
      <c r="A457">
        <v>6.0136938075663355</v>
      </c>
      <c r="B457">
        <v>7</v>
      </c>
      <c r="C457">
        <v>0</v>
      </c>
    </row>
    <row r="458" spans="1:3">
      <c r="A458">
        <v>2.633661066112706</v>
      </c>
      <c r="B458">
        <v>0</v>
      </c>
      <c r="C458">
        <v>10</v>
      </c>
    </row>
    <row r="459" spans="1:3">
      <c r="A459">
        <v>2.6397156620547166</v>
      </c>
      <c r="B459">
        <v>15</v>
      </c>
      <c r="C459">
        <v>0</v>
      </c>
    </row>
    <row r="460" spans="1:3">
      <c r="A460">
        <v>5.0025604008297613</v>
      </c>
      <c r="B460">
        <v>0</v>
      </c>
      <c r="C460">
        <v>8</v>
      </c>
    </row>
    <row r="461" spans="1:3">
      <c r="A461">
        <v>4.2346913252887681</v>
      </c>
      <c r="B461">
        <v>0</v>
      </c>
      <c r="C461">
        <v>8</v>
      </c>
    </row>
    <row r="462" spans="1:3">
      <c r="A462">
        <v>5.8230118195512155</v>
      </c>
      <c r="B462">
        <v>10</v>
      </c>
      <c r="C462">
        <v>0</v>
      </c>
    </row>
    <row r="463" spans="1:3">
      <c r="A463">
        <v>5.797829340369888</v>
      </c>
      <c r="B463">
        <v>0</v>
      </c>
      <c r="C463">
        <v>4</v>
      </c>
    </row>
    <row r="464" spans="1:3">
      <c r="A464">
        <v>5.8326836985956101</v>
      </c>
      <c r="B464">
        <v>0</v>
      </c>
      <c r="C464">
        <v>4</v>
      </c>
    </row>
    <row r="465" spans="1:3">
      <c r="A465">
        <v>6.6796410415354996</v>
      </c>
      <c r="B465">
        <v>0</v>
      </c>
      <c r="C465">
        <v>6</v>
      </c>
    </row>
    <row r="466" spans="1:3">
      <c r="A466">
        <v>5.6477394181810316</v>
      </c>
      <c r="B466">
        <v>0</v>
      </c>
      <c r="C466">
        <v>6</v>
      </c>
    </row>
    <row r="467" spans="1:3">
      <c r="A467">
        <v>5.6585266814750517</v>
      </c>
      <c r="B467">
        <v>0</v>
      </c>
      <c r="C467">
        <v>4</v>
      </c>
    </row>
    <row r="468" spans="1:3">
      <c r="A468">
        <v>4.2247474567780419</v>
      </c>
      <c r="B468">
        <v>0</v>
      </c>
      <c r="C468">
        <v>9</v>
      </c>
    </row>
    <row r="469" spans="1:3">
      <c r="A469">
        <v>2.7521438160325724</v>
      </c>
      <c r="B469">
        <v>16</v>
      </c>
      <c r="C469">
        <v>0</v>
      </c>
    </row>
    <row r="470" spans="1:3">
      <c r="A470">
        <v>5.3996161731985959</v>
      </c>
      <c r="B470">
        <v>0</v>
      </c>
      <c r="C470">
        <v>6</v>
      </c>
    </row>
    <row r="471" spans="1:3">
      <c r="A471">
        <v>4.372205602794045</v>
      </c>
      <c r="B471">
        <v>0</v>
      </c>
      <c r="C471">
        <v>5</v>
      </c>
    </row>
    <row r="472" spans="1:3">
      <c r="A472">
        <v>2.8636551891060855</v>
      </c>
      <c r="B472">
        <v>0</v>
      </c>
      <c r="C472">
        <v>9</v>
      </c>
    </row>
    <row r="473" spans="1:3">
      <c r="A473">
        <v>5.8103976530957837</v>
      </c>
      <c r="B473">
        <v>0</v>
      </c>
      <c r="C473">
        <v>6</v>
      </c>
    </row>
    <row r="474" spans="1:3">
      <c r="A474">
        <v>6.3077831606519181</v>
      </c>
      <c r="B474">
        <v>12</v>
      </c>
      <c r="C474">
        <v>0</v>
      </c>
    </row>
    <row r="475" spans="1:3">
      <c r="A475">
        <v>5.4628998656921981</v>
      </c>
      <c r="B475">
        <v>0</v>
      </c>
      <c r="C475">
        <v>5</v>
      </c>
    </row>
    <row r="476" spans="1:3">
      <c r="A476">
        <v>8.7039939452043154</v>
      </c>
      <c r="B476">
        <v>0</v>
      </c>
      <c r="C476">
        <v>3</v>
      </c>
    </row>
    <row r="477" spans="1:3">
      <c r="A477">
        <v>2.9506846521416996</v>
      </c>
      <c r="B477">
        <v>0</v>
      </c>
      <c r="C477">
        <v>7</v>
      </c>
    </row>
    <row r="478" spans="1:3">
      <c r="A478">
        <v>3.1125554039724457</v>
      </c>
      <c r="B478">
        <v>0</v>
      </c>
      <c r="C478">
        <v>5</v>
      </c>
    </row>
    <row r="479" spans="1:3">
      <c r="A479">
        <v>3.5490738074613954</v>
      </c>
      <c r="B479">
        <v>12</v>
      </c>
      <c r="C479">
        <v>0</v>
      </c>
    </row>
    <row r="480" spans="1:3">
      <c r="A480">
        <v>6.2511546027012672</v>
      </c>
      <c r="B480">
        <v>8</v>
      </c>
      <c r="C480">
        <v>0</v>
      </c>
    </row>
    <row r="481" spans="1:3">
      <c r="A481">
        <v>4.0307457125738813</v>
      </c>
      <c r="B481">
        <v>0</v>
      </c>
      <c r="C481">
        <v>9</v>
      </c>
    </row>
    <row r="482" spans="1:3">
      <c r="A482">
        <v>3.0707165110682277</v>
      </c>
      <c r="B482">
        <v>0</v>
      </c>
      <c r="C482">
        <v>10</v>
      </c>
    </row>
    <row r="483" spans="1:3">
      <c r="A483">
        <v>2.3276930427372098</v>
      </c>
      <c r="B483">
        <v>0</v>
      </c>
      <c r="C483">
        <v>10</v>
      </c>
    </row>
    <row r="484" spans="1:3">
      <c r="A484">
        <v>6.1440327222310875</v>
      </c>
      <c r="B484">
        <v>0</v>
      </c>
      <c r="C484">
        <v>6</v>
      </c>
    </row>
    <row r="485" spans="1:3">
      <c r="A485">
        <v>6.5401798810245744</v>
      </c>
      <c r="B485">
        <v>0</v>
      </c>
      <c r="C485">
        <v>5</v>
      </c>
    </row>
    <row r="486" spans="1:3">
      <c r="A486">
        <v>4.6213899114113506</v>
      </c>
      <c r="B486">
        <v>0</v>
      </c>
      <c r="C486">
        <v>6</v>
      </c>
    </row>
    <row r="487" spans="1:3">
      <c r="A487">
        <v>5.8396330494760944</v>
      </c>
      <c r="B487">
        <v>0</v>
      </c>
      <c r="C487">
        <v>5</v>
      </c>
    </row>
    <row r="488" spans="1:3">
      <c r="A488">
        <v>3.5248724924041213</v>
      </c>
      <c r="B488">
        <v>0</v>
      </c>
      <c r="C488">
        <v>8</v>
      </c>
    </row>
    <row r="489" spans="1:3">
      <c r="A489">
        <v>5.9248056339967246</v>
      </c>
      <c r="B489">
        <v>9</v>
      </c>
      <c r="C489">
        <v>0</v>
      </c>
    </row>
    <row r="490" spans="1:3">
      <c r="A490">
        <v>3.5811233685132855</v>
      </c>
      <c r="B490">
        <v>8</v>
      </c>
      <c r="C490">
        <v>0</v>
      </c>
    </row>
    <row r="491" spans="1:3">
      <c r="A491">
        <v>3.6656672716173166</v>
      </c>
      <c r="B491">
        <v>0</v>
      </c>
      <c r="C491">
        <v>6</v>
      </c>
    </row>
    <row r="492" spans="1:3">
      <c r="A492">
        <v>3.9571836003056235</v>
      </c>
      <c r="B492">
        <v>0</v>
      </c>
      <c r="C492">
        <v>10</v>
      </c>
    </row>
    <row r="493" spans="1:3">
      <c r="A493">
        <v>8.3538650123497487</v>
      </c>
      <c r="B493">
        <v>0</v>
      </c>
      <c r="C493">
        <v>4</v>
      </c>
    </row>
    <row r="494" spans="1:3">
      <c r="A494">
        <v>4.0525406526713414</v>
      </c>
      <c r="B494">
        <v>0</v>
      </c>
      <c r="C494">
        <v>4</v>
      </c>
    </row>
    <row r="495" spans="1:3">
      <c r="A495">
        <v>3.4412624800076195</v>
      </c>
      <c r="B495">
        <v>0</v>
      </c>
      <c r="C495">
        <v>7</v>
      </c>
    </row>
    <row r="496" spans="1:3">
      <c r="A496">
        <v>6.0850213786397314</v>
      </c>
      <c r="B496">
        <v>0</v>
      </c>
      <c r="C496">
        <v>5</v>
      </c>
    </row>
    <row r="497" spans="1:3">
      <c r="A497">
        <v>5.3894819897250432</v>
      </c>
      <c r="B497">
        <v>0</v>
      </c>
      <c r="C497">
        <v>9</v>
      </c>
    </row>
    <row r="498" spans="1:3">
      <c r="A498">
        <v>2.0499960937099528</v>
      </c>
      <c r="B498">
        <v>0</v>
      </c>
      <c r="C498">
        <v>9</v>
      </c>
    </row>
    <row r="499" spans="1:3">
      <c r="A499">
        <v>4.4435149910341982</v>
      </c>
      <c r="B499">
        <v>11</v>
      </c>
      <c r="C499">
        <v>0</v>
      </c>
    </row>
    <row r="500" spans="1:3">
      <c r="A500">
        <v>7.6781719238194039</v>
      </c>
      <c r="B500">
        <v>0</v>
      </c>
      <c r="C500">
        <v>3</v>
      </c>
    </row>
    <row r="501" spans="1:3">
      <c r="A501">
        <v>4.0552763694016702</v>
      </c>
      <c r="B501">
        <v>0</v>
      </c>
      <c r="C501">
        <v>7</v>
      </c>
    </row>
    <row r="502" spans="1:3">
      <c r="A502">
        <v>5.5575368982259326</v>
      </c>
      <c r="B502">
        <v>0</v>
      </c>
      <c r="C502">
        <v>6</v>
      </c>
    </row>
    <row r="503" spans="1:3">
      <c r="A503">
        <v>8.4415113110860851</v>
      </c>
      <c r="B503">
        <v>0</v>
      </c>
      <c r="C503">
        <v>2</v>
      </c>
    </row>
    <row r="504" spans="1:3">
      <c r="A504">
        <v>3.3138865811053804</v>
      </c>
      <c r="B504">
        <v>0</v>
      </c>
      <c r="C504">
        <v>9</v>
      </c>
    </row>
    <row r="505" spans="1:3">
      <c r="A505">
        <v>5.5904323035381109</v>
      </c>
      <c r="B505">
        <v>0</v>
      </c>
      <c r="C505">
        <v>5</v>
      </c>
    </row>
    <row r="506" spans="1:3">
      <c r="A506">
        <v>4.3429134577920649</v>
      </c>
      <c r="B506">
        <v>0</v>
      </c>
      <c r="C506">
        <v>5</v>
      </c>
    </row>
    <row r="507" spans="1:3">
      <c r="A507">
        <v>4.88557172595283</v>
      </c>
      <c r="B507">
        <v>13</v>
      </c>
      <c r="C507">
        <v>0</v>
      </c>
    </row>
    <row r="508" spans="1:3">
      <c r="A508">
        <v>3.9402830027535245</v>
      </c>
      <c r="B508">
        <v>13</v>
      </c>
      <c r="C508">
        <v>0</v>
      </c>
    </row>
    <row r="509" spans="1:3">
      <c r="A509">
        <v>5.7094334046209303</v>
      </c>
      <c r="B509">
        <v>0</v>
      </c>
      <c r="C509">
        <v>7</v>
      </c>
    </row>
    <row r="510" spans="1:3">
      <c r="A510">
        <v>5.3127223185972996</v>
      </c>
      <c r="B510">
        <v>14</v>
      </c>
      <c r="C510">
        <v>0</v>
      </c>
    </row>
    <row r="511" spans="1:3">
      <c r="A511">
        <v>3.8208287541015111</v>
      </c>
      <c r="B511">
        <v>0</v>
      </c>
      <c r="C511">
        <v>8</v>
      </c>
    </row>
    <row r="512" spans="1:3">
      <c r="A512">
        <v>7.3019336581718086</v>
      </c>
      <c r="B512">
        <v>0</v>
      </c>
      <c r="C512">
        <v>4</v>
      </c>
    </row>
    <row r="513" spans="1:3">
      <c r="A513">
        <v>6.3829839016098706</v>
      </c>
      <c r="B513">
        <v>0</v>
      </c>
      <c r="C513">
        <v>6</v>
      </c>
    </row>
    <row r="514" spans="1:3">
      <c r="A514">
        <v>6.912751708702876</v>
      </c>
      <c r="B514">
        <v>0</v>
      </c>
      <c r="C514">
        <v>4</v>
      </c>
    </row>
    <row r="515" spans="1:3">
      <c r="A515">
        <v>7.0782456325152339</v>
      </c>
      <c r="B515">
        <v>0</v>
      </c>
      <c r="C515">
        <v>3</v>
      </c>
    </row>
    <row r="516" spans="1:3">
      <c r="A516">
        <v>9.4003468985558278</v>
      </c>
      <c r="B516">
        <v>4</v>
      </c>
      <c r="C516">
        <v>0</v>
      </c>
    </row>
    <row r="517" spans="1:3">
      <c r="A517">
        <v>8.7918615945978242</v>
      </c>
      <c r="B517">
        <v>0</v>
      </c>
      <c r="C517">
        <v>3</v>
      </c>
    </row>
    <row r="518" spans="1:3">
      <c r="A518">
        <v>7.3906555915882528</v>
      </c>
      <c r="B518">
        <v>0</v>
      </c>
      <c r="C518">
        <v>5</v>
      </c>
    </row>
    <row r="519" spans="1:3">
      <c r="A519">
        <v>6.7998779880343347</v>
      </c>
      <c r="B519">
        <v>0</v>
      </c>
      <c r="C519">
        <v>5</v>
      </c>
    </row>
    <row r="520" spans="1:3">
      <c r="A520">
        <v>3.1289954525145087</v>
      </c>
      <c r="B520">
        <v>0</v>
      </c>
      <c r="C520">
        <v>10</v>
      </c>
    </row>
    <row r="521" spans="1:3">
      <c r="A521">
        <v>4.4082883811388607</v>
      </c>
      <c r="B521">
        <v>11</v>
      </c>
      <c r="C521">
        <v>0</v>
      </c>
    </row>
    <row r="522" spans="1:3">
      <c r="A522">
        <v>5.2765137272229614</v>
      </c>
      <c r="B522">
        <v>9</v>
      </c>
      <c r="C522">
        <v>0</v>
      </c>
    </row>
    <row r="523" spans="1:3">
      <c r="A523">
        <v>3.0891593257143595</v>
      </c>
      <c r="B523">
        <v>13</v>
      </c>
      <c r="C523">
        <v>0</v>
      </c>
    </row>
    <row r="524" spans="1:3">
      <c r="A524">
        <v>6.2831006761981101</v>
      </c>
      <c r="B524">
        <v>12</v>
      </c>
      <c r="C524">
        <v>0</v>
      </c>
    </row>
    <row r="525" spans="1:3">
      <c r="A525">
        <v>2.7491984852563958</v>
      </c>
      <c r="B525">
        <v>12</v>
      </c>
      <c r="C525">
        <v>0</v>
      </c>
    </row>
    <row r="526" spans="1:3">
      <c r="A526">
        <v>8.4549762991363604</v>
      </c>
      <c r="B526">
        <v>0</v>
      </c>
      <c r="C526">
        <v>5</v>
      </c>
    </row>
    <row r="527" spans="1:3">
      <c r="A527">
        <v>9.532944031948853</v>
      </c>
      <c r="B527">
        <v>0</v>
      </c>
      <c r="C527">
        <v>2</v>
      </c>
    </row>
    <row r="528" spans="1:3">
      <c r="A528">
        <v>4.5572837709509644</v>
      </c>
      <c r="B528">
        <v>0</v>
      </c>
      <c r="C528">
        <v>8</v>
      </c>
    </row>
    <row r="529" spans="1:3">
      <c r="A529">
        <v>2.3436374666998843</v>
      </c>
      <c r="B529">
        <v>15</v>
      </c>
      <c r="C529">
        <v>0</v>
      </c>
    </row>
    <row r="530" spans="1:3">
      <c r="A530">
        <v>3.4552543930779476</v>
      </c>
      <c r="B530">
        <v>0</v>
      </c>
      <c r="C530">
        <v>8</v>
      </c>
    </row>
    <row r="531" spans="1:3">
      <c r="A531">
        <v>12.977546613325574</v>
      </c>
      <c r="B531">
        <v>2</v>
      </c>
      <c r="C531">
        <v>0</v>
      </c>
    </row>
    <row r="532" spans="1:3">
      <c r="A532">
        <v>6.8498825936853427</v>
      </c>
      <c r="B532">
        <v>0</v>
      </c>
      <c r="C532">
        <v>5</v>
      </c>
    </row>
    <row r="533" spans="1:3">
      <c r="A533">
        <v>5.7053417005293721</v>
      </c>
      <c r="B533">
        <v>0</v>
      </c>
      <c r="C533">
        <v>4</v>
      </c>
    </row>
    <row r="534" spans="1:3">
      <c r="A534">
        <v>4.375209907201449</v>
      </c>
      <c r="B534">
        <v>0</v>
      </c>
      <c r="C534">
        <v>6</v>
      </c>
    </row>
    <row r="535" spans="1:3">
      <c r="A535">
        <v>6.2046448981071114</v>
      </c>
      <c r="B535">
        <v>0</v>
      </c>
      <c r="C535">
        <v>7</v>
      </c>
    </row>
    <row r="536" spans="1:3">
      <c r="A536">
        <v>11.186879359782662</v>
      </c>
      <c r="B536">
        <v>2</v>
      </c>
      <c r="C536">
        <v>0</v>
      </c>
    </row>
    <row r="537" spans="1:3">
      <c r="A537">
        <v>2.9492851989468116</v>
      </c>
      <c r="B537">
        <v>17</v>
      </c>
      <c r="C537">
        <v>0</v>
      </c>
    </row>
    <row r="538" spans="1:3">
      <c r="A538">
        <v>6.8658907218419039</v>
      </c>
      <c r="B538">
        <v>0</v>
      </c>
      <c r="C538">
        <v>4</v>
      </c>
    </row>
    <row r="539" spans="1:3">
      <c r="A539">
        <v>4.5284354555608504</v>
      </c>
      <c r="B539">
        <v>9</v>
      </c>
      <c r="C539">
        <v>0</v>
      </c>
    </row>
    <row r="540" spans="1:3">
      <c r="A540">
        <v>3.5277851435043748</v>
      </c>
      <c r="B540">
        <v>0</v>
      </c>
      <c r="C540">
        <v>6</v>
      </c>
    </row>
    <row r="541" spans="1:3">
      <c r="A541">
        <v>5.9888943373679657</v>
      </c>
      <c r="B541">
        <v>11</v>
      </c>
      <c r="C541">
        <v>0</v>
      </c>
    </row>
    <row r="542" spans="1:3">
      <c r="A542">
        <v>3.5215938985049258</v>
      </c>
      <c r="B542">
        <v>0</v>
      </c>
      <c r="C542">
        <v>9</v>
      </c>
    </row>
    <row r="543" spans="1:3">
      <c r="A543">
        <v>7.401409379409853</v>
      </c>
      <c r="B543">
        <v>6</v>
      </c>
      <c r="C543">
        <v>0</v>
      </c>
    </row>
    <row r="544" spans="1:3">
      <c r="A544">
        <v>3.1228132418952539</v>
      </c>
      <c r="B544">
        <v>0</v>
      </c>
      <c r="C544">
        <v>7</v>
      </c>
    </row>
    <row r="545" spans="1:3">
      <c r="A545">
        <v>4.1061481597912257</v>
      </c>
      <c r="B545">
        <v>0</v>
      </c>
      <c r="C545">
        <v>6</v>
      </c>
    </row>
    <row r="546" spans="1:3">
      <c r="A546">
        <v>5.8862172249422837</v>
      </c>
      <c r="B546">
        <v>0</v>
      </c>
      <c r="C546">
        <v>8</v>
      </c>
    </row>
    <row r="547" spans="1:3">
      <c r="A547">
        <v>3.2176414103967832</v>
      </c>
      <c r="B547">
        <v>0</v>
      </c>
      <c r="C547">
        <v>7</v>
      </c>
    </row>
    <row r="548" spans="1:3">
      <c r="A548">
        <v>6.1135326313799307</v>
      </c>
      <c r="B548">
        <v>14</v>
      </c>
      <c r="C548">
        <v>0</v>
      </c>
    </row>
    <row r="549" spans="1:3">
      <c r="A549">
        <v>2.9527351527070413</v>
      </c>
      <c r="B549">
        <v>0</v>
      </c>
      <c r="C549">
        <v>7</v>
      </c>
    </row>
    <row r="550" spans="1:3">
      <c r="A550">
        <v>5.2617785827715249</v>
      </c>
      <c r="B550">
        <v>0</v>
      </c>
      <c r="C550">
        <v>5</v>
      </c>
    </row>
    <row r="551" spans="1:3">
      <c r="A551">
        <v>10.097180641124384</v>
      </c>
      <c r="B551">
        <v>0</v>
      </c>
      <c r="C551">
        <v>2</v>
      </c>
    </row>
    <row r="552" spans="1:3">
      <c r="A552">
        <v>4.0793452902987157</v>
      </c>
      <c r="B552">
        <v>0</v>
      </c>
      <c r="C552">
        <v>6</v>
      </c>
    </row>
    <row r="553" spans="1:3">
      <c r="A553">
        <v>8.2062110088887561</v>
      </c>
      <c r="B553">
        <v>0</v>
      </c>
      <c r="C553">
        <v>3</v>
      </c>
    </row>
    <row r="554" spans="1:3">
      <c r="A554">
        <v>6.7702964483854213</v>
      </c>
      <c r="B554">
        <v>0</v>
      </c>
      <c r="C554">
        <v>3</v>
      </c>
    </row>
    <row r="555" spans="1:3">
      <c r="A555">
        <v>6.5005164117179879</v>
      </c>
      <c r="B555">
        <v>0</v>
      </c>
      <c r="C555">
        <v>8</v>
      </c>
    </row>
    <row r="556" spans="1:3">
      <c r="A556">
        <v>6.2908931246161757</v>
      </c>
      <c r="B556">
        <v>0</v>
      </c>
      <c r="C556">
        <v>4</v>
      </c>
    </row>
    <row r="557" spans="1:3">
      <c r="A557">
        <v>7.5785000787460923</v>
      </c>
      <c r="B557">
        <v>7</v>
      </c>
      <c r="C557">
        <v>0</v>
      </c>
    </row>
    <row r="558" spans="1:3">
      <c r="A558">
        <v>3.781105039596051</v>
      </c>
      <c r="B558">
        <v>0</v>
      </c>
      <c r="C558">
        <v>9</v>
      </c>
    </row>
    <row r="559" spans="1:3">
      <c r="A559">
        <v>6.1136304529886667</v>
      </c>
      <c r="B559">
        <v>5</v>
      </c>
      <c r="C559">
        <v>0</v>
      </c>
    </row>
    <row r="560" spans="1:3">
      <c r="A560">
        <v>2.9959496581048848</v>
      </c>
      <c r="B560">
        <v>14</v>
      </c>
      <c r="C560">
        <v>0</v>
      </c>
    </row>
    <row r="561" spans="1:3">
      <c r="A561">
        <v>4.7751940117433493</v>
      </c>
      <c r="B561">
        <v>12</v>
      </c>
      <c r="C561">
        <v>0</v>
      </c>
    </row>
    <row r="562" spans="1:3">
      <c r="A562">
        <v>4.6707657428604978</v>
      </c>
      <c r="B562">
        <v>15</v>
      </c>
      <c r="C562">
        <v>0</v>
      </c>
    </row>
    <row r="563" spans="1:3">
      <c r="A563">
        <v>5.4651974421855716</v>
      </c>
      <c r="B563">
        <v>0</v>
      </c>
      <c r="C563">
        <v>4</v>
      </c>
    </row>
    <row r="564" spans="1:3">
      <c r="A564">
        <v>7.6190555036037271</v>
      </c>
      <c r="B564">
        <v>0</v>
      </c>
      <c r="C564">
        <v>2</v>
      </c>
    </row>
    <row r="565" spans="1:3">
      <c r="A565">
        <v>3.4520638439353029</v>
      </c>
      <c r="B565">
        <v>0</v>
      </c>
      <c r="C565">
        <v>7</v>
      </c>
    </row>
    <row r="566" spans="1:3">
      <c r="A566">
        <v>3.0702134602605136</v>
      </c>
      <c r="B566">
        <v>15</v>
      </c>
      <c r="C566">
        <v>0</v>
      </c>
    </row>
    <row r="567" spans="1:3">
      <c r="A567">
        <v>5.8843080273165747</v>
      </c>
      <c r="B567">
        <v>0</v>
      </c>
      <c r="C567">
        <v>3</v>
      </c>
    </row>
    <row r="568" spans="1:3">
      <c r="A568">
        <v>4.4845850084250163</v>
      </c>
      <c r="B568">
        <v>0</v>
      </c>
      <c r="C568">
        <v>8</v>
      </c>
    </row>
    <row r="569" spans="1:3">
      <c r="A569">
        <v>4.6832759925437983</v>
      </c>
      <c r="B569">
        <v>8</v>
      </c>
      <c r="C569">
        <v>0</v>
      </c>
    </row>
    <row r="570" spans="1:3">
      <c r="A570">
        <v>3.5943030479486713</v>
      </c>
      <c r="B570">
        <v>0</v>
      </c>
      <c r="C570">
        <v>9</v>
      </c>
    </row>
    <row r="571" spans="1:3">
      <c r="A571">
        <v>4.3120678489658024</v>
      </c>
      <c r="B571">
        <v>0</v>
      </c>
      <c r="C571">
        <v>9</v>
      </c>
    </row>
    <row r="572" spans="1:3">
      <c r="A572">
        <v>7.6596334544680804</v>
      </c>
      <c r="B572">
        <v>5</v>
      </c>
      <c r="C572">
        <v>0</v>
      </c>
    </row>
    <row r="573" spans="1:3">
      <c r="A573">
        <v>4.5042891131141349</v>
      </c>
      <c r="B573">
        <v>6</v>
      </c>
      <c r="C573">
        <v>0</v>
      </c>
    </row>
    <row r="574" spans="1:3">
      <c r="A574">
        <v>3.7466187778292093</v>
      </c>
      <c r="B574">
        <v>0</v>
      </c>
      <c r="C574">
        <v>7</v>
      </c>
    </row>
    <row r="575" spans="1:3">
      <c r="A575">
        <v>3.3531059662633398</v>
      </c>
      <c r="B575">
        <v>14</v>
      </c>
      <c r="C575">
        <v>0</v>
      </c>
    </row>
    <row r="576" spans="1:3">
      <c r="A576">
        <v>9.4496441861181246</v>
      </c>
      <c r="B576">
        <v>7</v>
      </c>
      <c r="C576">
        <v>0</v>
      </c>
    </row>
    <row r="577" spans="1:3">
      <c r="A577">
        <v>5.3467161727736361</v>
      </c>
      <c r="B577">
        <v>0</v>
      </c>
      <c r="C577">
        <v>5</v>
      </c>
    </row>
    <row r="578" spans="1:3">
      <c r="A578">
        <v>7.2789178554785678</v>
      </c>
      <c r="B578">
        <v>12</v>
      </c>
      <c r="C578">
        <v>0</v>
      </c>
    </row>
    <row r="579" spans="1:3">
      <c r="A579">
        <v>8.0976850504781179</v>
      </c>
      <c r="B579">
        <v>0</v>
      </c>
      <c r="C579">
        <v>4</v>
      </c>
    </row>
    <row r="580" spans="1:3">
      <c r="A580">
        <v>4.0332584860896015</v>
      </c>
      <c r="B580">
        <v>0</v>
      </c>
      <c r="C580">
        <v>5</v>
      </c>
    </row>
    <row r="581" spans="1:3">
      <c r="A581">
        <v>6.2661057530819058</v>
      </c>
      <c r="B581">
        <v>0</v>
      </c>
      <c r="C581">
        <v>3</v>
      </c>
    </row>
    <row r="582" spans="1:3">
      <c r="A582">
        <v>3.7013910802918186</v>
      </c>
      <c r="B582">
        <v>0</v>
      </c>
      <c r="C582">
        <v>9</v>
      </c>
    </row>
    <row r="583" spans="1:3">
      <c r="A583">
        <v>8.9841775367299963</v>
      </c>
      <c r="B583">
        <v>0</v>
      </c>
      <c r="C583">
        <v>4</v>
      </c>
    </row>
    <row r="584" spans="1:3">
      <c r="A584">
        <v>5.7200801548459328</v>
      </c>
      <c r="B584">
        <v>0</v>
      </c>
      <c r="C584">
        <v>2</v>
      </c>
    </row>
    <row r="585" spans="1:3">
      <c r="A585">
        <v>4.898643289980396</v>
      </c>
      <c r="B585">
        <v>0</v>
      </c>
      <c r="C585">
        <v>5</v>
      </c>
    </row>
    <row r="586" spans="1:3">
      <c r="A586">
        <v>9.7200497565038102</v>
      </c>
      <c r="B586">
        <v>0</v>
      </c>
      <c r="C586">
        <v>2</v>
      </c>
    </row>
    <row r="587" spans="1:3">
      <c r="A587">
        <v>4.6154423301182188</v>
      </c>
      <c r="B587">
        <v>0</v>
      </c>
      <c r="C587">
        <v>7</v>
      </c>
    </row>
    <row r="588" spans="1:3">
      <c r="A588">
        <v>4.6889955014375868</v>
      </c>
      <c r="B588">
        <v>0</v>
      </c>
      <c r="C588">
        <v>9</v>
      </c>
    </row>
    <row r="589" spans="1:3">
      <c r="A589">
        <v>5.553376563036835</v>
      </c>
      <c r="B589">
        <v>0</v>
      </c>
      <c r="C589">
        <v>6</v>
      </c>
    </row>
    <row r="590" spans="1:3">
      <c r="A590">
        <v>3.743469520275545</v>
      </c>
      <c r="B590">
        <v>0</v>
      </c>
      <c r="C590">
        <v>9</v>
      </c>
    </row>
    <row r="591" spans="1:3">
      <c r="A591">
        <v>9.0988087636536505</v>
      </c>
      <c r="B591">
        <v>0</v>
      </c>
      <c r="C591">
        <v>2</v>
      </c>
    </row>
    <row r="592" spans="1:3">
      <c r="A592">
        <v>12.619961094515652</v>
      </c>
      <c r="B592">
        <v>0</v>
      </c>
      <c r="C592">
        <v>1</v>
      </c>
    </row>
    <row r="593" spans="1:3">
      <c r="A593">
        <v>10.081545963696707</v>
      </c>
      <c r="B593">
        <v>0</v>
      </c>
      <c r="C593">
        <v>2</v>
      </c>
    </row>
    <row r="594" spans="1:3">
      <c r="A594">
        <v>5.0394469806915465</v>
      </c>
      <c r="B594">
        <v>0</v>
      </c>
      <c r="C594">
        <v>5</v>
      </c>
    </row>
    <row r="595" spans="1:3">
      <c r="A595">
        <v>5.3852085412185655</v>
      </c>
      <c r="B595">
        <v>0</v>
      </c>
      <c r="C595">
        <v>7</v>
      </c>
    </row>
    <row r="596" spans="1:3">
      <c r="A596">
        <v>7.9630824235064441</v>
      </c>
      <c r="B596">
        <v>4</v>
      </c>
      <c r="C596">
        <v>0</v>
      </c>
    </row>
    <row r="597" spans="1:3">
      <c r="A597">
        <v>4.3079980508132669</v>
      </c>
      <c r="B597">
        <v>14</v>
      </c>
      <c r="C597">
        <v>0</v>
      </c>
    </row>
    <row r="598" spans="1:3">
      <c r="A598">
        <v>4.8985204206930284</v>
      </c>
      <c r="B598">
        <v>12</v>
      </c>
      <c r="C598">
        <v>0</v>
      </c>
    </row>
    <row r="599" spans="1:3">
      <c r="A599">
        <v>8.5301312649069434</v>
      </c>
      <c r="B599">
        <v>0</v>
      </c>
      <c r="C599">
        <v>2</v>
      </c>
    </row>
    <row r="600" spans="1:3">
      <c r="A600">
        <v>15.449596329293719</v>
      </c>
      <c r="B600">
        <v>0</v>
      </c>
      <c r="C600">
        <v>1</v>
      </c>
    </row>
    <row r="601" spans="1:3">
      <c r="A601">
        <v>4.1625429669174396</v>
      </c>
      <c r="B601">
        <v>10</v>
      </c>
      <c r="C601">
        <v>0</v>
      </c>
    </row>
    <row r="602" spans="1:3">
      <c r="A602">
        <v>2.2297718892389335</v>
      </c>
      <c r="B602">
        <v>15</v>
      </c>
      <c r="C602">
        <v>0</v>
      </c>
    </row>
    <row r="603" spans="1:3">
      <c r="A603">
        <v>5.0900079975694936</v>
      </c>
      <c r="B603">
        <v>7</v>
      </c>
      <c r="C603">
        <v>0</v>
      </c>
    </row>
    <row r="604" spans="1:3">
      <c r="A604">
        <v>3.7785984410529956</v>
      </c>
      <c r="B604">
        <v>10</v>
      </c>
      <c r="C604">
        <v>0</v>
      </c>
    </row>
    <row r="605" spans="1:3">
      <c r="A605">
        <v>3.823778023662471</v>
      </c>
      <c r="B605">
        <v>0</v>
      </c>
      <c r="C605">
        <v>7</v>
      </c>
    </row>
    <row r="606" spans="1:3">
      <c r="A606">
        <v>8.7131938389996346</v>
      </c>
      <c r="B606">
        <v>0</v>
      </c>
      <c r="C606">
        <v>3</v>
      </c>
    </row>
    <row r="607" spans="1:3">
      <c r="A607">
        <v>5.3742531570079715</v>
      </c>
      <c r="B607">
        <v>0</v>
      </c>
      <c r="C607">
        <v>4</v>
      </c>
    </row>
    <row r="608" spans="1:3">
      <c r="A608">
        <v>8.0540302317901524</v>
      </c>
      <c r="B608">
        <v>3</v>
      </c>
      <c r="C608">
        <v>0</v>
      </c>
    </row>
    <row r="609" spans="1:3">
      <c r="A609">
        <v>6.7052411632750886</v>
      </c>
      <c r="B609">
        <v>0</v>
      </c>
      <c r="C609">
        <v>5</v>
      </c>
    </row>
    <row r="610" spans="1:3">
      <c r="A610">
        <v>10.046444397985995</v>
      </c>
      <c r="B610">
        <v>4</v>
      </c>
      <c r="C610">
        <v>0</v>
      </c>
    </row>
    <row r="611" spans="1:3">
      <c r="A611">
        <v>5.0588088136572962</v>
      </c>
      <c r="B611">
        <v>0</v>
      </c>
      <c r="C611">
        <v>4</v>
      </c>
    </row>
    <row r="612" spans="1:3">
      <c r="A612">
        <v>7.0863703788853361</v>
      </c>
      <c r="B612">
        <v>0</v>
      </c>
      <c r="C612">
        <v>3</v>
      </c>
    </row>
    <row r="613" spans="1:3">
      <c r="A613">
        <v>6.8746219952533387</v>
      </c>
      <c r="B613">
        <v>0</v>
      </c>
      <c r="C613">
        <v>5</v>
      </c>
    </row>
    <row r="614" spans="1:3">
      <c r="A614">
        <v>4.2319753484403</v>
      </c>
      <c r="B614">
        <v>0</v>
      </c>
      <c r="C614">
        <v>8</v>
      </c>
    </row>
    <row r="615" spans="1:3">
      <c r="A615">
        <v>5.862295993467149</v>
      </c>
      <c r="B615">
        <v>0</v>
      </c>
      <c r="C615">
        <v>7</v>
      </c>
    </row>
    <row r="616" spans="1:3">
      <c r="A616">
        <v>15.929406265933114</v>
      </c>
      <c r="B616">
        <v>0</v>
      </c>
      <c r="C616">
        <v>1</v>
      </c>
    </row>
    <row r="617" spans="1:3">
      <c r="A617">
        <v>5.867618336427082</v>
      </c>
      <c r="B617">
        <v>0</v>
      </c>
      <c r="C617">
        <v>4</v>
      </c>
    </row>
    <row r="618" spans="1:3">
      <c r="A618">
        <v>4.0372855806107371</v>
      </c>
      <c r="B618">
        <v>0</v>
      </c>
      <c r="C618">
        <v>8</v>
      </c>
    </row>
    <row r="619" spans="1:3">
      <c r="A619">
        <v>3.9562017245368599</v>
      </c>
      <c r="B619">
        <v>13</v>
      </c>
      <c r="C619">
        <v>0</v>
      </c>
    </row>
    <row r="620" spans="1:3">
      <c r="A620">
        <v>4.4147472495283635</v>
      </c>
      <c r="B620">
        <v>0</v>
      </c>
      <c r="C620">
        <v>8</v>
      </c>
    </row>
    <row r="621" spans="1:3">
      <c r="A621">
        <v>4.6646536562748819</v>
      </c>
      <c r="B621">
        <v>12</v>
      </c>
      <c r="C621">
        <v>0</v>
      </c>
    </row>
    <row r="622" spans="1:3">
      <c r="A622">
        <v>4.3337899054492448</v>
      </c>
      <c r="B622">
        <v>0</v>
      </c>
      <c r="C622">
        <v>9</v>
      </c>
    </row>
    <row r="623" spans="1:3">
      <c r="A623">
        <v>5.354895230956334</v>
      </c>
      <c r="B623">
        <v>0</v>
      </c>
      <c r="C623">
        <v>5</v>
      </c>
    </row>
    <row r="624" spans="1:3">
      <c r="A624">
        <v>9.3945984106365756</v>
      </c>
      <c r="B624">
        <v>12</v>
      </c>
      <c r="C624">
        <v>0</v>
      </c>
    </row>
    <row r="625" spans="1:3">
      <c r="A625">
        <v>4.6716430519430165</v>
      </c>
      <c r="B625">
        <v>0</v>
      </c>
      <c r="C625">
        <v>5</v>
      </c>
    </row>
    <row r="626" spans="1:3">
      <c r="A626">
        <v>11.786656714346222</v>
      </c>
      <c r="B626">
        <v>0</v>
      </c>
      <c r="C626">
        <v>2</v>
      </c>
    </row>
    <row r="627" spans="1:3">
      <c r="A627">
        <v>7.4545420927730799</v>
      </c>
      <c r="B627">
        <v>0</v>
      </c>
      <c r="C627">
        <v>6</v>
      </c>
    </row>
    <row r="628" spans="1:3">
      <c r="A628">
        <v>6.9425663210014026</v>
      </c>
      <c r="B628">
        <v>0</v>
      </c>
      <c r="C628">
        <v>5</v>
      </c>
    </row>
    <row r="629" spans="1:3">
      <c r="A629">
        <v>2.3846424169205513</v>
      </c>
      <c r="B629">
        <v>14</v>
      </c>
      <c r="C629">
        <v>0</v>
      </c>
    </row>
    <row r="630" spans="1:3">
      <c r="A630">
        <v>5.1557883048799793</v>
      </c>
      <c r="B630">
        <v>0</v>
      </c>
      <c r="C630">
        <v>8</v>
      </c>
    </row>
    <row r="631" spans="1:3">
      <c r="A631">
        <v>3.3190572575969264</v>
      </c>
      <c r="B631">
        <v>0</v>
      </c>
      <c r="C631">
        <v>7</v>
      </c>
    </row>
    <row r="632" spans="1:3">
      <c r="A632">
        <v>8.9874151491376217</v>
      </c>
      <c r="B632">
        <v>0</v>
      </c>
      <c r="C632">
        <v>4</v>
      </c>
    </row>
    <row r="633" spans="1:3">
      <c r="A633">
        <v>12.751470798297046</v>
      </c>
      <c r="B633">
        <v>6</v>
      </c>
      <c r="C633">
        <v>0</v>
      </c>
    </row>
    <row r="634" spans="1:3">
      <c r="A634">
        <v>4.6923262843108429</v>
      </c>
      <c r="B634">
        <v>0</v>
      </c>
      <c r="C634">
        <v>8</v>
      </c>
    </row>
    <row r="635" spans="1:3">
      <c r="A635">
        <v>4.5368354111987212</v>
      </c>
      <c r="B635">
        <v>0</v>
      </c>
      <c r="C635">
        <v>8</v>
      </c>
    </row>
    <row r="636" spans="1:3">
      <c r="A636">
        <v>4.6433211472784084</v>
      </c>
      <c r="B636">
        <v>0</v>
      </c>
      <c r="C636">
        <v>5</v>
      </c>
    </row>
    <row r="637" spans="1:3">
      <c r="A637">
        <v>6.5500547861686025</v>
      </c>
      <c r="B637">
        <v>0</v>
      </c>
      <c r="C637">
        <v>5</v>
      </c>
    </row>
    <row r="638" spans="1:3">
      <c r="A638">
        <v>5.4524031591558373</v>
      </c>
      <c r="B638">
        <v>0</v>
      </c>
      <c r="C638">
        <v>4</v>
      </c>
    </row>
    <row r="639" spans="1:3">
      <c r="A639">
        <v>5.3941237775022364</v>
      </c>
      <c r="B639">
        <v>0</v>
      </c>
      <c r="C639">
        <v>6</v>
      </c>
    </row>
    <row r="640" spans="1:3">
      <c r="A640">
        <v>5.0516189871488271</v>
      </c>
      <c r="B640">
        <v>0</v>
      </c>
      <c r="C640">
        <v>6</v>
      </c>
    </row>
    <row r="641" spans="1:3">
      <c r="A641">
        <v>5.0741617703172412</v>
      </c>
      <c r="B641">
        <v>13</v>
      </c>
      <c r="C641">
        <v>0</v>
      </c>
    </row>
    <row r="642" spans="1:3">
      <c r="A642">
        <v>8.4594518572185695</v>
      </c>
      <c r="B642">
        <v>8</v>
      </c>
      <c r="C642">
        <v>0</v>
      </c>
    </row>
    <row r="643" spans="1:3">
      <c r="A643">
        <v>5.8166700722806546</v>
      </c>
      <c r="B643">
        <v>0</v>
      </c>
      <c r="C643">
        <v>4</v>
      </c>
    </row>
    <row r="644" spans="1:3">
      <c r="A644">
        <v>7.9326388226379088</v>
      </c>
      <c r="B644">
        <v>0</v>
      </c>
      <c r="C644">
        <v>6</v>
      </c>
    </row>
    <row r="645" spans="1:3">
      <c r="A645">
        <v>3.7870545733415941</v>
      </c>
      <c r="B645">
        <v>12</v>
      </c>
      <c r="C645">
        <v>0</v>
      </c>
    </row>
    <row r="646" spans="1:3">
      <c r="A646">
        <v>4.6253313605475803</v>
      </c>
      <c r="B646">
        <v>0</v>
      </c>
      <c r="C646">
        <v>7</v>
      </c>
    </row>
    <row r="647" spans="1:3">
      <c r="A647">
        <v>5.6077056417419469</v>
      </c>
      <c r="B647">
        <v>0</v>
      </c>
      <c r="C647">
        <v>7</v>
      </c>
    </row>
    <row r="648" spans="1:3">
      <c r="A648">
        <v>10.706557828329501</v>
      </c>
      <c r="B648">
        <v>4</v>
      </c>
      <c r="C648">
        <v>0</v>
      </c>
    </row>
    <row r="649" spans="1:3">
      <c r="A649">
        <v>4.1615858054913621</v>
      </c>
      <c r="B649">
        <v>0</v>
      </c>
      <c r="C649">
        <v>8</v>
      </c>
    </row>
    <row r="650" spans="1:3">
      <c r="A650">
        <v>5.9299106532916026</v>
      </c>
      <c r="B650">
        <v>9</v>
      </c>
      <c r="C650">
        <v>0</v>
      </c>
    </row>
    <row r="651" spans="1:3">
      <c r="A651">
        <v>6.499590814482497</v>
      </c>
      <c r="B651">
        <v>0</v>
      </c>
      <c r="C651">
        <v>5</v>
      </c>
    </row>
    <row r="652" spans="1:3">
      <c r="A652">
        <v>11.013231657805358</v>
      </c>
      <c r="B652">
        <v>6</v>
      </c>
      <c r="C652">
        <v>0</v>
      </c>
    </row>
    <row r="653" spans="1:3">
      <c r="A653">
        <v>6.843428202186808</v>
      </c>
      <c r="B653">
        <v>0</v>
      </c>
      <c r="C653">
        <v>4</v>
      </c>
    </row>
    <row r="654" spans="1:3">
      <c r="A654">
        <v>7.0015143036813878</v>
      </c>
      <c r="B654">
        <v>0</v>
      </c>
      <c r="C654">
        <v>4</v>
      </c>
    </row>
    <row r="655" spans="1:3">
      <c r="A655">
        <v>3.3937900608447076</v>
      </c>
      <c r="B655">
        <v>0</v>
      </c>
      <c r="C655">
        <v>7</v>
      </c>
    </row>
    <row r="656" spans="1:3">
      <c r="A656">
        <v>4.4550504554630344</v>
      </c>
      <c r="B656">
        <v>0</v>
      </c>
      <c r="C656">
        <v>9</v>
      </c>
    </row>
    <row r="657" spans="1:3">
      <c r="A657">
        <v>4.2643553086433323</v>
      </c>
      <c r="B657">
        <v>12</v>
      </c>
      <c r="C657">
        <v>0</v>
      </c>
    </row>
    <row r="658" spans="1:3">
      <c r="A658">
        <v>4.5694399920421622</v>
      </c>
      <c r="B658">
        <v>10</v>
      </c>
      <c r="C658">
        <v>0</v>
      </c>
    </row>
    <row r="659" spans="1:3">
      <c r="A659">
        <v>6.6693410196508651</v>
      </c>
      <c r="B659">
        <v>12</v>
      </c>
      <c r="C659">
        <v>0</v>
      </c>
    </row>
    <row r="660" spans="1:3">
      <c r="A660">
        <v>11.245187369035445</v>
      </c>
      <c r="B660">
        <v>0</v>
      </c>
      <c r="C660">
        <v>2</v>
      </c>
    </row>
    <row r="661" spans="1:3">
      <c r="A661">
        <v>5.5833782973703077</v>
      </c>
      <c r="B661">
        <v>0</v>
      </c>
      <c r="C661">
        <v>6</v>
      </c>
    </row>
    <row r="662" spans="1:3">
      <c r="A662">
        <v>2.8828330282637515</v>
      </c>
      <c r="B662">
        <v>0</v>
      </c>
      <c r="C662">
        <v>9</v>
      </c>
    </row>
    <row r="663" spans="1:3">
      <c r="A663">
        <v>8.2378900187815134</v>
      </c>
      <c r="B663">
        <v>0</v>
      </c>
      <c r="C663">
        <v>3</v>
      </c>
    </row>
    <row r="664" spans="1:3">
      <c r="A664">
        <v>8.1030572564130772</v>
      </c>
      <c r="B664">
        <v>0</v>
      </c>
      <c r="C664">
        <v>2</v>
      </c>
    </row>
    <row r="665" spans="1:3">
      <c r="A665">
        <v>3.6300445625327953</v>
      </c>
      <c r="B665">
        <v>0</v>
      </c>
      <c r="C665">
        <v>10</v>
      </c>
    </row>
    <row r="666" spans="1:3">
      <c r="A666">
        <v>5.4931730462423927</v>
      </c>
      <c r="B666">
        <v>7</v>
      </c>
      <c r="C666">
        <v>0</v>
      </c>
    </row>
    <row r="667" spans="1:3">
      <c r="A667">
        <v>2.8808510151317437</v>
      </c>
      <c r="B667">
        <v>14</v>
      </c>
      <c r="C667">
        <v>0</v>
      </c>
    </row>
    <row r="668" spans="1:3">
      <c r="A668">
        <v>7.5584570391340513</v>
      </c>
      <c r="B668">
        <v>8</v>
      </c>
      <c r="C668">
        <v>0</v>
      </c>
    </row>
    <row r="669" spans="1:3">
      <c r="A669">
        <v>2.9220306210699079</v>
      </c>
      <c r="B669">
        <v>0</v>
      </c>
      <c r="C669">
        <v>6</v>
      </c>
    </row>
    <row r="670" spans="1:3">
      <c r="A670">
        <v>9.3385157214428762</v>
      </c>
      <c r="B670">
        <v>0</v>
      </c>
      <c r="C670">
        <v>4</v>
      </c>
    </row>
    <row r="671" spans="1:3">
      <c r="A671">
        <v>11.259670542111618</v>
      </c>
      <c r="B671">
        <v>0</v>
      </c>
      <c r="C671">
        <v>2</v>
      </c>
    </row>
    <row r="672" spans="1:3">
      <c r="A672">
        <v>11.823529928982799</v>
      </c>
      <c r="B672">
        <v>0</v>
      </c>
      <c r="C672">
        <v>1</v>
      </c>
    </row>
    <row r="673" spans="1:3">
      <c r="A673">
        <v>7.8937164393111505</v>
      </c>
      <c r="B673">
        <v>0</v>
      </c>
      <c r="C673">
        <v>4</v>
      </c>
    </row>
    <row r="674" spans="1:3">
      <c r="A674">
        <v>3.4365693643111941</v>
      </c>
      <c r="B674">
        <v>11</v>
      </c>
      <c r="C674">
        <v>0</v>
      </c>
    </row>
    <row r="675" spans="1:3">
      <c r="A675">
        <v>4.1132506932744741</v>
      </c>
      <c r="B675">
        <v>0</v>
      </c>
      <c r="C675">
        <v>9</v>
      </c>
    </row>
    <row r="676" spans="1:3">
      <c r="A676">
        <v>3.0705238257903398</v>
      </c>
      <c r="B676">
        <v>15</v>
      </c>
      <c r="C676">
        <v>0</v>
      </c>
    </row>
    <row r="677" spans="1:3">
      <c r="A677">
        <v>4.6603591768356232</v>
      </c>
      <c r="B677">
        <v>0</v>
      </c>
      <c r="C677">
        <v>6</v>
      </c>
    </row>
    <row r="678" spans="1:3">
      <c r="A678">
        <v>2.7550302146424577</v>
      </c>
      <c r="B678">
        <v>9</v>
      </c>
      <c r="C678">
        <v>0</v>
      </c>
    </row>
    <row r="679" spans="1:3">
      <c r="A679">
        <v>8.5223145892267276</v>
      </c>
      <c r="B679">
        <v>0</v>
      </c>
      <c r="C679">
        <v>3</v>
      </c>
    </row>
    <row r="680" spans="1:3">
      <c r="A680">
        <v>3.9996804550509832</v>
      </c>
      <c r="B680">
        <v>0</v>
      </c>
      <c r="C680">
        <v>5</v>
      </c>
    </row>
    <row r="681" spans="1:3">
      <c r="A681">
        <v>6.1740550630493622</v>
      </c>
      <c r="B681">
        <v>0</v>
      </c>
      <c r="C681">
        <v>5</v>
      </c>
    </row>
    <row r="682" spans="1:3">
      <c r="A682">
        <v>3.97248198402756</v>
      </c>
      <c r="B682">
        <v>0</v>
      </c>
      <c r="C682">
        <v>9</v>
      </c>
    </row>
    <row r="683" spans="1:3">
      <c r="A683">
        <v>4.8023441312211324</v>
      </c>
      <c r="B683">
        <v>0</v>
      </c>
      <c r="C683">
        <v>6</v>
      </c>
    </row>
    <row r="684" spans="1:3">
      <c r="A684">
        <v>4.0145710925177367</v>
      </c>
      <c r="B684">
        <v>0</v>
      </c>
      <c r="C684">
        <v>5</v>
      </c>
    </row>
    <row r="685" spans="1:3">
      <c r="A685">
        <v>5.5986879874741602</v>
      </c>
      <c r="B685">
        <v>12</v>
      </c>
      <c r="C685">
        <v>0</v>
      </c>
    </row>
    <row r="686" spans="1:3">
      <c r="A686">
        <v>7.1485482323198504</v>
      </c>
      <c r="B686">
        <v>0</v>
      </c>
      <c r="C686">
        <v>3</v>
      </c>
    </row>
    <row r="687" spans="1:3">
      <c r="A687">
        <v>5.7373515752454409</v>
      </c>
      <c r="B687">
        <v>0</v>
      </c>
      <c r="C687">
        <v>3</v>
      </c>
    </row>
    <row r="688" spans="1:3">
      <c r="A688">
        <v>5.933275662747147</v>
      </c>
      <c r="B688">
        <v>0</v>
      </c>
      <c r="C688">
        <v>6</v>
      </c>
    </row>
    <row r="689" spans="1:3">
      <c r="A689">
        <v>5.6992154511282447</v>
      </c>
      <c r="B689">
        <v>0</v>
      </c>
      <c r="C689">
        <v>3</v>
      </c>
    </row>
    <row r="690" spans="1:3">
      <c r="A690">
        <v>4.7756402521209242</v>
      </c>
      <c r="B690">
        <v>0</v>
      </c>
      <c r="C690">
        <v>6</v>
      </c>
    </row>
    <row r="691" spans="1:3">
      <c r="A691">
        <v>5.0486489743759204</v>
      </c>
      <c r="B691">
        <v>13</v>
      </c>
      <c r="C691">
        <v>0</v>
      </c>
    </row>
    <row r="692" spans="1:3">
      <c r="A692">
        <v>6.8679638021596316</v>
      </c>
      <c r="B692">
        <v>0</v>
      </c>
      <c r="C692">
        <v>4</v>
      </c>
    </row>
    <row r="693" spans="1:3">
      <c r="A693">
        <v>4.071496958275918</v>
      </c>
      <c r="B693">
        <v>0</v>
      </c>
      <c r="C693">
        <v>5</v>
      </c>
    </row>
    <row r="694" spans="1:3">
      <c r="A694">
        <v>8.1186446315201906</v>
      </c>
      <c r="B694">
        <v>5</v>
      </c>
      <c r="C694">
        <v>0</v>
      </c>
    </row>
    <row r="695" spans="1:3">
      <c r="A695">
        <v>10.411449750480219</v>
      </c>
      <c r="B695">
        <v>2</v>
      </c>
      <c r="C695">
        <v>0</v>
      </c>
    </row>
    <row r="696" spans="1:3">
      <c r="A696">
        <v>6.271683097889456</v>
      </c>
      <c r="B696">
        <v>0</v>
      </c>
      <c r="C696">
        <v>5</v>
      </c>
    </row>
    <row r="697" spans="1:3">
      <c r="A697">
        <v>7.4771341705357086</v>
      </c>
      <c r="B697">
        <v>0</v>
      </c>
      <c r="C697">
        <v>5</v>
      </c>
    </row>
    <row r="698" spans="1:3">
      <c r="A698">
        <v>3.611212930092095</v>
      </c>
      <c r="B698">
        <v>0</v>
      </c>
      <c r="C698">
        <v>7</v>
      </c>
    </row>
    <row r="699" spans="1:3">
      <c r="A699">
        <v>6.3737748513407118</v>
      </c>
      <c r="B699">
        <v>0</v>
      </c>
      <c r="C699">
        <v>3</v>
      </c>
    </row>
    <row r="700" spans="1:3">
      <c r="A700">
        <v>4.0105470107713685</v>
      </c>
      <c r="B700">
        <v>0</v>
      </c>
      <c r="C700">
        <v>10</v>
      </c>
    </row>
    <row r="701" spans="1:3">
      <c r="A701">
        <v>10.350563927918474</v>
      </c>
      <c r="B701">
        <v>0</v>
      </c>
      <c r="C701">
        <v>2</v>
      </c>
    </row>
    <row r="702" spans="1:3">
      <c r="A702">
        <v>5.0615835236654894</v>
      </c>
      <c r="B702">
        <v>0</v>
      </c>
      <c r="C702">
        <v>5</v>
      </c>
    </row>
    <row r="703" spans="1:3">
      <c r="A703">
        <v>7.9193463684147689</v>
      </c>
      <c r="B703">
        <v>0</v>
      </c>
      <c r="C703">
        <v>4</v>
      </c>
    </row>
    <row r="704" spans="1:3">
      <c r="A704">
        <v>7.2861914638539327</v>
      </c>
      <c r="B704">
        <v>0</v>
      </c>
      <c r="C704">
        <v>5</v>
      </c>
    </row>
    <row r="705" spans="1:3">
      <c r="A705">
        <v>3.2873022945379553</v>
      </c>
      <c r="B705">
        <v>17</v>
      </c>
      <c r="C705">
        <v>0</v>
      </c>
    </row>
    <row r="706" spans="1:3">
      <c r="A706">
        <v>3.636173240346646</v>
      </c>
      <c r="B706">
        <v>0</v>
      </c>
      <c r="C706">
        <v>8</v>
      </c>
    </row>
    <row r="707" spans="1:3">
      <c r="A707">
        <v>5.0859469165323858</v>
      </c>
      <c r="B707">
        <v>0</v>
      </c>
      <c r="C707">
        <v>7</v>
      </c>
    </row>
    <row r="708" spans="1:3">
      <c r="A708">
        <v>7.4549318220604013</v>
      </c>
      <c r="B708">
        <v>0</v>
      </c>
      <c r="C708">
        <v>4</v>
      </c>
    </row>
    <row r="709" spans="1:3">
      <c r="A709">
        <v>5.3660430466808497</v>
      </c>
      <c r="B709">
        <v>0</v>
      </c>
      <c r="C709">
        <v>6</v>
      </c>
    </row>
    <row r="710" spans="1:3">
      <c r="A710">
        <v>4.5687452868287091</v>
      </c>
      <c r="B710">
        <v>12</v>
      </c>
      <c r="C710">
        <v>0</v>
      </c>
    </row>
    <row r="711" spans="1:3">
      <c r="A711">
        <v>4.4391319096479886</v>
      </c>
      <c r="B711">
        <v>0</v>
      </c>
      <c r="C711">
        <v>7</v>
      </c>
    </row>
    <row r="712" spans="1:3">
      <c r="A712">
        <v>3.4605348803611191</v>
      </c>
      <c r="B712">
        <v>15</v>
      </c>
      <c r="C712">
        <v>0</v>
      </c>
    </row>
    <row r="713" spans="1:3">
      <c r="A713">
        <v>9.7526010818641726</v>
      </c>
      <c r="B713">
        <v>0</v>
      </c>
      <c r="C713">
        <v>1</v>
      </c>
    </row>
    <row r="714" spans="1:3">
      <c r="A714">
        <v>4.9477055517363064</v>
      </c>
      <c r="B714">
        <v>0</v>
      </c>
      <c r="C714">
        <v>9</v>
      </c>
    </row>
    <row r="715" spans="1:3">
      <c r="A715">
        <v>4.5074399474810063</v>
      </c>
      <c r="B715">
        <v>0</v>
      </c>
      <c r="C715">
        <v>6</v>
      </c>
    </row>
    <row r="716" spans="1:3">
      <c r="A716">
        <v>5.8200588197548937</v>
      </c>
      <c r="B716">
        <v>0</v>
      </c>
      <c r="C716">
        <v>2</v>
      </c>
    </row>
    <row r="717" spans="1:3">
      <c r="A717">
        <v>3.9909362407585509</v>
      </c>
      <c r="B717">
        <v>0</v>
      </c>
      <c r="C717">
        <v>8</v>
      </c>
    </row>
    <row r="718" spans="1:3">
      <c r="A718">
        <v>12.288164995686756</v>
      </c>
      <c r="B718">
        <v>0</v>
      </c>
      <c r="C718">
        <v>1</v>
      </c>
    </row>
    <row r="719" spans="1:3">
      <c r="A719">
        <v>5.3762590025162957</v>
      </c>
      <c r="B719">
        <v>10</v>
      </c>
      <c r="C719">
        <v>0</v>
      </c>
    </row>
    <row r="720" spans="1:3">
      <c r="A720">
        <v>5.4702820918952186</v>
      </c>
      <c r="B720">
        <v>0</v>
      </c>
      <c r="C720">
        <v>8</v>
      </c>
    </row>
    <row r="721" spans="1:3">
      <c r="A721">
        <v>5.5139830878800868</v>
      </c>
      <c r="B721">
        <v>0</v>
      </c>
      <c r="C721">
        <v>7</v>
      </c>
    </row>
    <row r="722" spans="1:3">
      <c r="A722">
        <v>4.838059422712643</v>
      </c>
      <c r="B722">
        <v>10</v>
      </c>
      <c r="C722">
        <v>0</v>
      </c>
    </row>
    <row r="723" spans="1:3">
      <c r="A723">
        <v>4.2583271714726427</v>
      </c>
      <c r="B723">
        <v>0</v>
      </c>
      <c r="C723">
        <v>7</v>
      </c>
    </row>
    <row r="724" spans="1:3">
      <c r="A724">
        <v>4.142143978394853</v>
      </c>
      <c r="B724">
        <v>0</v>
      </c>
      <c r="C724">
        <v>9</v>
      </c>
    </row>
    <row r="725" spans="1:3">
      <c r="A725">
        <v>5.5890086544738207</v>
      </c>
      <c r="B725">
        <v>0</v>
      </c>
      <c r="C725">
        <v>4</v>
      </c>
    </row>
    <row r="726" spans="1:3">
      <c r="A726">
        <v>9.0466082729779327</v>
      </c>
      <c r="B726">
        <v>4</v>
      </c>
      <c r="C726">
        <v>0</v>
      </c>
    </row>
    <row r="727" spans="1:3">
      <c r="A727">
        <v>8.1469593674772227</v>
      </c>
      <c r="B727">
        <v>7</v>
      </c>
      <c r="C727">
        <v>0</v>
      </c>
    </row>
    <row r="728" spans="1:3">
      <c r="A728">
        <v>6.67222133590115</v>
      </c>
      <c r="B728">
        <v>8</v>
      </c>
      <c r="C728">
        <v>0</v>
      </c>
    </row>
    <row r="729" spans="1:3">
      <c r="A729">
        <v>4.5503087628740575</v>
      </c>
      <c r="B729">
        <v>0</v>
      </c>
      <c r="C729">
        <v>6</v>
      </c>
    </row>
    <row r="730" spans="1:3">
      <c r="A730">
        <v>7.8542282027118624</v>
      </c>
      <c r="B730">
        <v>0</v>
      </c>
      <c r="C730">
        <v>5</v>
      </c>
    </row>
    <row r="731" spans="1:3">
      <c r="A731">
        <v>4.7169969217110452</v>
      </c>
      <c r="B731">
        <v>0</v>
      </c>
      <c r="C731">
        <v>6</v>
      </c>
    </row>
    <row r="732" spans="1:3">
      <c r="A732">
        <v>3.4176503978100472</v>
      </c>
      <c r="B732">
        <v>0</v>
      </c>
      <c r="C732">
        <v>9</v>
      </c>
    </row>
    <row r="733" spans="1:3">
      <c r="A733">
        <v>4.3671233043525639</v>
      </c>
      <c r="B733">
        <v>9</v>
      </c>
      <c r="C733">
        <v>0</v>
      </c>
    </row>
    <row r="734" spans="1:3">
      <c r="A734">
        <v>4.524023225323111</v>
      </c>
      <c r="B734">
        <v>0</v>
      </c>
      <c r="C734">
        <v>7</v>
      </c>
    </row>
    <row r="735" spans="1:3">
      <c r="A735">
        <v>2.8074781938220825</v>
      </c>
      <c r="B735">
        <v>17</v>
      </c>
      <c r="C735">
        <v>0</v>
      </c>
    </row>
    <row r="736" spans="1:3">
      <c r="A736">
        <v>3.9198780796458275</v>
      </c>
      <c r="B736">
        <v>0</v>
      </c>
      <c r="C736">
        <v>9</v>
      </c>
    </row>
    <row r="737" spans="1:3">
      <c r="A737">
        <v>3.7018337202308511</v>
      </c>
      <c r="B737">
        <v>0</v>
      </c>
      <c r="C737">
        <v>10</v>
      </c>
    </row>
    <row r="738" spans="1:3">
      <c r="A738">
        <v>7.8379096860818214</v>
      </c>
      <c r="B738">
        <v>0</v>
      </c>
      <c r="C738">
        <v>4</v>
      </c>
    </row>
    <row r="739" spans="1:3">
      <c r="A739">
        <v>4.529241100155966</v>
      </c>
      <c r="B739">
        <v>0</v>
      </c>
      <c r="C739">
        <v>6</v>
      </c>
    </row>
    <row r="740" spans="1:3">
      <c r="A740">
        <v>3.8704670718500971</v>
      </c>
      <c r="B740">
        <v>0</v>
      </c>
      <c r="C740">
        <v>7</v>
      </c>
    </row>
    <row r="741" spans="1:3">
      <c r="A741">
        <v>7.511019986632073</v>
      </c>
      <c r="B741">
        <v>0</v>
      </c>
      <c r="C741">
        <v>2</v>
      </c>
    </row>
    <row r="742" spans="1:3">
      <c r="A742">
        <v>6.2394948133738293</v>
      </c>
      <c r="B742">
        <v>0</v>
      </c>
      <c r="C742">
        <v>6</v>
      </c>
    </row>
    <row r="743" spans="1:3">
      <c r="A743">
        <v>4.5915920788971967</v>
      </c>
      <c r="B743">
        <v>0</v>
      </c>
      <c r="C743">
        <v>6</v>
      </c>
    </row>
    <row r="744" spans="1:3">
      <c r="A744">
        <v>3.8730375372984405</v>
      </c>
      <c r="B744">
        <v>0</v>
      </c>
      <c r="C744">
        <v>8</v>
      </c>
    </row>
    <row r="745" spans="1:3">
      <c r="A745">
        <v>6.1860678308150501</v>
      </c>
      <c r="B745">
        <v>5</v>
      </c>
      <c r="C745">
        <v>0</v>
      </c>
    </row>
    <row r="746" spans="1:3">
      <c r="A746">
        <v>3.6135089290652105</v>
      </c>
      <c r="B746">
        <v>0</v>
      </c>
      <c r="C746">
        <v>9</v>
      </c>
    </row>
    <row r="747" spans="1:3">
      <c r="A747">
        <v>8.296305761553409</v>
      </c>
      <c r="B747">
        <v>0</v>
      </c>
      <c r="C747">
        <v>3</v>
      </c>
    </row>
    <row r="748" spans="1:3">
      <c r="A748">
        <v>6.843837340797017</v>
      </c>
      <c r="B748">
        <v>0</v>
      </c>
      <c r="C748">
        <v>6</v>
      </c>
    </row>
    <row r="749" spans="1:3">
      <c r="A749">
        <v>3.5490689473613592</v>
      </c>
      <c r="B749">
        <v>0</v>
      </c>
      <c r="C749">
        <v>8</v>
      </c>
    </row>
    <row r="750" spans="1:3">
      <c r="A750">
        <v>9.2758734269526979</v>
      </c>
      <c r="B750">
        <v>0</v>
      </c>
      <c r="C750">
        <v>3</v>
      </c>
    </row>
    <row r="751" spans="1:3">
      <c r="A751">
        <v>6.5959888798602906</v>
      </c>
      <c r="B751">
        <v>0</v>
      </c>
      <c r="C751">
        <v>6</v>
      </c>
    </row>
    <row r="752" spans="1:3">
      <c r="A752">
        <v>10.611632526220074</v>
      </c>
      <c r="B752">
        <v>0</v>
      </c>
      <c r="C752">
        <v>2</v>
      </c>
    </row>
    <row r="753" spans="1:3">
      <c r="A753">
        <v>3.8720018990816825</v>
      </c>
      <c r="B753">
        <v>0</v>
      </c>
      <c r="C753">
        <v>6</v>
      </c>
    </row>
    <row r="754" spans="1:3">
      <c r="A754">
        <v>5.655145080116454</v>
      </c>
      <c r="B754">
        <v>0</v>
      </c>
      <c r="C754">
        <v>6</v>
      </c>
    </row>
    <row r="755" spans="1:3">
      <c r="A755">
        <v>7.4532800131130603</v>
      </c>
      <c r="B755">
        <v>0</v>
      </c>
      <c r="C755">
        <v>4</v>
      </c>
    </row>
    <row r="756" spans="1:3">
      <c r="A756">
        <v>7.1026151832538211</v>
      </c>
      <c r="B756">
        <v>4</v>
      </c>
      <c r="C756">
        <v>0</v>
      </c>
    </row>
    <row r="757" spans="1:3">
      <c r="A757">
        <v>4.7911409786934573</v>
      </c>
      <c r="B757">
        <v>0</v>
      </c>
      <c r="C757">
        <v>7</v>
      </c>
    </row>
    <row r="758" spans="1:3">
      <c r="A758">
        <v>4.5858667833749109</v>
      </c>
      <c r="B758">
        <v>0</v>
      </c>
      <c r="C758">
        <v>8</v>
      </c>
    </row>
    <row r="759" spans="1:3">
      <c r="A759">
        <v>8.9159804799705498</v>
      </c>
      <c r="B759">
        <v>0</v>
      </c>
      <c r="C759">
        <v>5</v>
      </c>
    </row>
    <row r="760" spans="1:3">
      <c r="A760">
        <v>2.8058630860444018</v>
      </c>
      <c r="B760">
        <v>0</v>
      </c>
      <c r="C760">
        <v>10</v>
      </c>
    </row>
    <row r="761" spans="1:3">
      <c r="A761">
        <v>6.4770667616278592</v>
      </c>
      <c r="B761">
        <v>0</v>
      </c>
      <c r="C761">
        <v>5</v>
      </c>
    </row>
    <row r="762" spans="1:3">
      <c r="A762">
        <v>4.042176512805713</v>
      </c>
      <c r="B762">
        <v>0</v>
      </c>
      <c r="C762">
        <v>9</v>
      </c>
    </row>
    <row r="763" spans="1:3">
      <c r="A763">
        <v>4.5996624168092124</v>
      </c>
      <c r="B763">
        <v>0</v>
      </c>
      <c r="C763">
        <v>7</v>
      </c>
    </row>
    <row r="764" spans="1:3">
      <c r="A764">
        <v>6.7171993971123207</v>
      </c>
      <c r="B764">
        <v>0</v>
      </c>
      <c r="C764">
        <v>4</v>
      </c>
    </row>
    <row r="765" spans="1:3">
      <c r="A765">
        <v>2.3141341157280499</v>
      </c>
      <c r="B765">
        <v>0</v>
      </c>
      <c r="C765">
        <v>7</v>
      </c>
    </row>
    <row r="766" spans="1:3">
      <c r="A766">
        <v>6.1639723698945366</v>
      </c>
      <c r="B766">
        <v>0</v>
      </c>
      <c r="C766">
        <v>5</v>
      </c>
    </row>
    <row r="767" spans="1:3">
      <c r="A767">
        <v>6.5357617235771022</v>
      </c>
      <c r="B767">
        <v>0</v>
      </c>
      <c r="C767">
        <v>5</v>
      </c>
    </row>
    <row r="768" spans="1:3">
      <c r="A768">
        <v>8.4405708349796438</v>
      </c>
      <c r="B768">
        <v>0</v>
      </c>
      <c r="C768">
        <v>3</v>
      </c>
    </row>
    <row r="769" spans="1:3">
      <c r="A769">
        <v>3.9921361294877711</v>
      </c>
      <c r="B769">
        <v>0</v>
      </c>
      <c r="C769">
        <v>6</v>
      </c>
    </row>
    <row r="770" spans="1:3">
      <c r="A770">
        <v>7.7383973014180505</v>
      </c>
      <c r="B770">
        <v>7</v>
      </c>
      <c r="C770">
        <v>0</v>
      </c>
    </row>
    <row r="771" spans="1:3">
      <c r="A771">
        <v>3.4073453640554123</v>
      </c>
      <c r="B771">
        <v>0</v>
      </c>
      <c r="C771">
        <v>6</v>
      </c>
    </row>
    <row r="772" spans="1:3">
      <c r="A772">
        <v>2.1405064724772411</v>
      </c>
      <c r="B772">
        <v>14</v>
      </c>
      <c r="C772">
        <v>0</v>
      </c>
    </row>
    <row r="773" spans="1:3">
      <c r="A773">
        <v>6.8887179316171885</v>
      </c>
      <c r="B773">
        <v>0</v>
      </c>
      <c r="C773">
        <v>4</v>
      </c>
    </row>
    <row r="774" spans="1:3">
      <c r="A774">
        <v>3.1013836856150898</v>
      </c>
      <c r="B774">
        <v>13</v>
      </c>
      <c r="C774">
        <v>0</v>
      </c>
    </row>
    <row r="775" spans="1:3">
      <c r="A775">
        <v>5.9775556388212374</v>
      </c>
      <c r="B775">
        <v>0</v>
      </c>
      <c r="C775">
        <v>6</v>
      </c>
    </row>
    <row r="776" spans="1:3">
      <c r="A776">
        <v>7.5096676329555336</v>
      </c>
      <c r="B776">
        <v>0</v>
      </c>
      <c r="C776">
        <v>5</v>
      </c>
    </row>
    <row r="777" spans="1:3">
      <c r="A777">
        <v>4.6026780693085074</v>
      </c>
      <c r="B777">
        <v>0</v>
      </c>
      <c r="C777">
        <v>8</v>
      </c>
    </row>
    <row r="778" spans="1:3">
      <c r="A778">
        <v>4.4155302883454279</v>
      </c>
      <c r="B778">
        <v>0</v>
      </c>
      <c r="C778">
        <v>8</v>
      </c>
    </row>
    <row r="779" spans="1:3">
      <c r="A779">
        <v>4.3860671235270079</v>
      </c>
      <c r="B779">
        <v>0</v>
      </c>
      <c r="C779">
        <v>7</v>
      </c>
    </row>
    <row r="780" spans="1:3">
      <c r="A780">
        <v>5.1278002895702057</v>
      </c>
      <c r="B780">
        <v>0</v>
      </c>
      <c r="C780">
        <v>4</v>
      </c>
    </row>
    <row r="781" spans="1:3">
      <c r="A781">
        <v>4.5740146373324952</v>
      </c>
      <c r="B781">
        <v>0</v>
      </c>
      <c r="C781">
        <v>7</v>
      </c>
    </row>
    <row r="782" spans="1:3">
      <c r="A782">
        <v>6.6986674139163327</v>
      </c>
      <c r="B782">
        <v>0</v>
      </c>
      <c r="C782">
        <v>4</v>
      </c>
    </row>
    <row r="783" spans="1:3">
      <c r="A783">
        <v>3.1442560452109274</v>
      </c>
      <c r="B783">
        <v>0</v>
      </c>
      <c r="C783">
        <v>7</v>
      </c>
    </row>
    <row r="784" spans="1:3">
      <c r="A784">
        <v>4.1899947503612252</v>
      </c>
      <c r="B784">
        <v>9</v>
      </c>
      <c r="C784">
        <v>0</v>
      </c>
    </row>
    <row r="785" spans="1:3">
      <c r="A785">
        <v>4.5150523270140699</v>
      </c>
      <c r="B785">
        <v>0</v>
      </c>
      <c r="C785">
        <v>6</v>
      </c>
    </row>
    <row r="786" spans="1:3">
      <c r="A786">
        <v>7.3772306684634827</v>
      </c>
      <c r="B786">
        <v>0</v>
      </c>
      <c r="C786">
        <v>4</v>
      </c>
    </row>
    <row r="787" spans="1:3">
      <c r="A787">
        <v>3.6763477017338282</v>
      </c>
      <c r="B787">
        <v>0</v>
      </c>
      <c r="C787">
        <v>6</v>
      </c>
    </row>
    <row r="788" spans="1:3">
      <c r="A788">
        <v>6.8937778715483704</v>
      </c>
      <c r="B788">
        <v>0</v>
      </c>
      <c r="C788">
        <v>4</v>
      </c>
    </row>
    <row r="789" spans="1:3">
      <c r="A789">
        <v>5.407903273236764</v>
      </c>
      <c r="B789">
        <v>0</v>
      </c>
      <c r="C789">
        <v>7</v>
      </c>
    </row>
    <row r="790" spans="1:3">
      <c r="A790">
        <v>5.6755232703069556</v>
      </c>
      <c r="B790">
        <v>0</v>
      </c>
      <c r="C790">
        <v>8</v>
      </c>
    </row>
    <row r="791" spans="1:3">
      <c r="A791">
        <v>5.8530688162549005</v>
      </c>
      <c r="B791">
        <v>0</v>
      </c>
      <c r="C791">
        <v>6</v>
      </c>
    </row>
    <row r="792" spans="1:3">
      <c r="A792">
        <v>8.2975815157053106</v>
      </c>
      <c r="B792">
        <v>4</v>
      </c>
      <c r="C792">
        <v>0</v>
      </c>
    </row>
    <row r="793" spans="1:3">
      <c r="A793">
        <v>5.07947456305671</v>
      </c>
      <c r="B793">
        <v>0</v>
      </c>
      <c r="C793">
        <v>6</v>
      </c>
    </row>
    <row r="794" spans="1:3">
      <c r="A794">
        <v>5.0071253422428734</v>
      </c>
      <c r="B794">
        <v>9</v>
      </c>
      <c r="C794">
        <v>0</v>
      </c>
    </row>
    <row r="795" spans="1:3">
      <c r="A795">
        <v>6.521204643636775</v>
      </c>
      <c r="B795">
        <v>6</v>
      </c>
      <c r="C795">
        <v>0</v>
      </c>
    </row>
    <row r="796" spans="1:3">
      <c r="A796">
        <v>5.6623492529563642</v>
      </c>
      <c r="B796">
        <v>0</v>
      </c>
      <c r="C796">
        <v>5</v>
      </c>
    </row>
    <row r="797" spans="1:3">
      <c r="A797">
        <v>3.0276125986686351</v>
      </c>
      <c r="B797">
        <v>0</v>
      </c>
      <c r="C797">
        <v>7</v>
      </c>
    </row>
    <row r="798" spans="1:3">
      <c r="A798">
        <v>6.4659164919407894</v>
      </c>
      <c r="B798">
        <v>0</v>
      </c>
      <c r="C798">
        <v>4</v>
      </c>
    </row>
    <row r="799" spans="1:3">
      <c r="A799">
        <v>4.5047933707065839</v>
      </c>
      <c r="B799">
        <v>0</v>
      </c>
      <c r="C799">
        <v>7</v>
      </c>
    </row>
    <row r="800" spans="1:3">
      <c r="A800">
        <v>7.5003414926368857</v>
      </c>
      <c r="B800">
        <v>0</v>
      </c>
      <c r="C800">
        <v>5</v>
      </c>
    </row>
    <row r="801" spans="1:3">
      <c r="A801">
        <v>3.3587520537714122</v>
      </c>
      <c r="B801">
        <v>0</v>
      </c>
      <c r="C801">
        <v>8</v>
      </c>
    </row>
    <row r="802" spans="1:3">
      <c r="A802">
        <v>4.0820427799026575</v>
      </c>
      <c r="B802">
        <v>0</v>
      </c>
      <c r="C802">
        <v>7</v>
      </c>
    </row>
    <row r="803" spans="1:3">
      <c r="A803">
        <v>10.077672553482575</v>
      </c>
      <c r="B803">
        <v>0</v>
      </c>
      <c r="C803">
        <v>3</v>
      </c>
    </row>
    <row r="804" spans="1:3">
      <c r="A804">
        <v>5.04748398319256</v>
      </c>
      <c r="B804">
        <v>0</v>
      </c>
      <c r="C804">
        <v>5</v>
      </c>
    </row>
    <row r="805" spans="1:3">
      <c r="A805">
        <v>7.4227468430227788</v>
      </c>
      <c r="B805">
        <v>8</v>
      </c>
      <c r="C805">
        <v>0</v>
      </c>
    </row>
    <row r="806" spans="1:3">
      <c r="A806">
        <v>5.1029217560700264</v>
      </c>
      <c r="B806">
        <v>0</v>
      </c>
      <c r="C806">
        <v>7</v>
      </c>
    </row>
    <row r="807" spans="1:3">
      <c r="A807">
        <v>5.4135333891417554</v>
      </c>
      <c r="B807">
        <v>0</v>
      </c>
      <c r="C807">
        <v>7</v>
      </c>
    </row>
    <row r="808" spans="1:3">
      <c r="A808">
        <v>7.6884325433117704</v>
      </c>
      <c r="B808">
        <v>0</v>
      </c>
      <c r="C808">
        <v>5</v>
      </c>
    </row>
    <row r="809" spans="1:3">
      <c r="A809">
        <v>14.419382295496478</v>
      </c>
      <c r="B809">
        <v>2</v>
      </c>
      <c r="C809">
        <v>0</v>
      </c>
    </row>
    <row r="810" spans="1:3">
      <c r="A810">
        <v>8.5571497198162731</v>
      </c>
      <c r="B810">
        <v>0</v>
      </c>
      <c r="C810">
        <v>6</v>
      </c>
    </row>
    <row r="811" spans="1:3">
      <c r="A811">
        <v>4.7642519060377833</v>
      </c>
      <c r="B811">
        <v>0</v>
      </c>
      <c r="C811">
        <v>6</v>
      </c>
    </row>
    <row r="812" spans="1:3">
      <c r="A812">
        <v>9.6946120522919799</v>
      </c>
      <c r="B812">
        <v>0</v>
      </c>
      <c r="C812">
        <v>2</v>
      </c>
    </row>
    <row r="813" spans="1:3">
      <c r="A813">
        <v>12.839672701616902</v>
      </c>
      <c r="B813">
        <v>0</v>
      </c>
      <c r="C813">
        <v>3</v>
      </c>
    </row>
    <row r="814" spans="1:3">
      <c r="A814">
        <v>6.0947414300147873</v>
      </c>
      <c r="B814">
        <v>0</v>
      </c>
      <c r="C814">
        <v>6</v>
      </c>
    </row>
    <row r="815" spans="1:3">
      <c r="A815">
        <v>6.845324974172013</v>
      </c>
      <c r="B815">
        <v>0</v>
      </c>
      <c r="C815">
        <v>7</v>
      </c>
    </row>
    <row r="816" spans="1:3">
      <c r="A816">
        <v>4.949982926788465</v>
      </c>
      <c r="B816">
        <v>0</v>
      </c>
      <c r="C816">
        <v>8</v>
      </c>
    </row>
    <row r="817" spans="1:3">
      <c r="A817">
        <v>3.5821542687834231</v>
      </c>
      <c r="B817">
        <v>14</v>
      </c>
      <c r="C817">
        <v>0</v>
      </c>
    </row>
    <row r="818" spans="1:3">
      <c r="A818">
        <v>4.4873105175859136</v>
      </c>
      <c r="B818">
        <v>0</v>
      </c>
      <c r="C818">
        <v>8</v>
      </c>
    </row>
    <row r="819" spans="1:3">
      <c r="A819">
        <v>3.9362920205241312</v>
      </c>
      <c r="B819">
        <v>12</v>
      </c>
      <c r="C819">
        <v>0</v>
      </c>
    </row>
    <row r="820" spans="1:3">
      <c r="A820">
        <v>4.9421395690102736</v>
      </c>
      <c r="B820">
        <v>0</v>
      </c>
      <c r="C820">
        <v>6</v>
      </c>
    </row>
    <row r="821" spans="1:3">
      <c r="A821">
        <v>3.9098327106039963</v>
      </c>
      <c r="B821">
        <v>0</v>
      </c>
      <c r="C821">
        <v>9</v>
      </c>
    </row>
    <row r="822" spans="1:3">
      <c r="A822">
        <v>6.9598492238461578</v>
      </c>
      <c r="B822">
        <v>4</v>
      </c>
      <c r="C822">
        <v>0</v>
      </c>
    </row>
    <row r="823" spans="1:3">
      <c r="A823">
        <v>5.9952604203847901</v>
      </c>
      <c r="B823">
        <v>0</v>
      </c>
      <c r="C823">
        <v>6</v>
      </c>
    </row>
    <row r="824" spans="1:3">
      <c r="A824">
        <v>3.2846222759377333</v>
      </c>
      <c r="B824">
        <v>14</v>
      </c>
      <c r="C824">
        <v>0</v>
      </c>
    </row>
    <row r="825" spans="1:3">
      <c r="A825">
        <v>8.0150722677938155</v>
      </c>
      <c r="B825">
        <v>0</v>
      </c>
      <c r="C825">
        <v>4</v>
      </c>
    </row>
    <row r="826" spans="1:3">
      <c r="A826">
        <v>8.3747739189947339</v>
      </c>
      <c r="B826">
        <v>0</v>
      </c>
      <c r="C826">
        <v>6</v>
      </c>
    </row>
    <row r="827" spans="1:3">
      <c r="A827">
        <v>5.7539095086518914</v>
      </c>
      <c r="B827">
        <v>0</v>
      </c>
      <c r="C827">
        <v>8</v>
      </c>
    </row>
    <row r="828" spans="1:3">
      <c r="A828">
        <v>4.4733658874654711</v>
      </c>
      <c r="B828">
        <v>0</v>
      </c>
      <c r="C828">
        <v>6</v>
      </c>
    </row>
    <row r="829" spans="1:3">
      <c r="A829">
        <v>8.1823589947535886</v>
      </c>
      <c r="B829">
        <v>0</v>
      </c>
      <c r="C829">
        <v>4</v>
      </c>
    </row>
    <row r="830" spans="1:3">
      <c r="A830">
        <v>3.6229295052766628</v>
      </c>
      <c r="B830">
        <v>15</v>
      </c>
      <c r="C830">
        <v>0</v>
      </c>
    </row>
    <row r="831" spans="1:3">
      <c r="A831">
        <v>3.7923173877174232</v>
      </c>
      <c r="B831">
        <v>0</v>
      </c>
      <c r="C831">
        <v>9</v>
      </c>
    </row>
    <row r="832" spans="1:3">
      <c r="A832">
        <v>5.4615420369712737</v>
      </c>
      <c r="B832">
        <v>0</v>
      </c>
      <c r="C832">
        <v>6</v>
      </c>
    </row>
    <row r="833" spans="1:3">
      <c r="A833">
        <v>3.3880282979037579</v>
      </c>
      <c r="B833">
        <v>0</v>
      </c>
      <c r="C833">
        <v>7</v>
      </c>
    </row>
    <row r="834" spans="1:3">
      <c r="A834">
        <v>4.294398374468777</v>
      </c>
      <c r="B834">
        <v>0</v>
      </c>
      <c r="C834">
        <v>8</v>
      </c>
    </row>
    <row r="835" spans="1:3">
      <c r="A835">
        <v>7.4017047466629338</v>
      </c>
      <c r="B835">
        <v>0</v>
      </c>
      <c r="C835">
        <v>3</v>
      </c>
    </row>
    <row r="836" spans="1:3">
      <c r="A836">
        <v>2.8581589965392911</v>
      </c>
      <c r="B836">
        <v>0</v>
      </c>
      <c r="C836">
        <v>8</v>
      </c>
    </row>
    <row r="837" spans="1:3">
      <c r="A837">
        <v>6.7728699578433096</v>
      </c>
      <c r="B837">
        <v>0</v>
      </c>
      <c r="C837">
        <v>6</v>
      </c>
    </row>
    <row r="838" spans="1:3">
      <c r="A838">
        <v>4.853283113357584</v>
      </c>
      <c r="B838">
        <v>12</v>
      </c>
      <c r="C838">
        <v>0</v>
      </c>
    </row>
    <row r="839" spans="1:3">
      <c r="A839">
        <v>6.1602659067363739</v>
      </c>
      <c r="B839">
        <v>0</v>
      </c>
      <c r="C839">
        <v>7</v>
      </c>
    </row>
    <row r="840" spans="1:3">
      <c r="A840">
        <v>3.9795426881417488</v>
      </c>
      <c r="B840">
        <v>0</v>
      </c>
      <c r="C840">
        <v>6</v>
      </c>
    </row>
    <row r="841" spans="1:3">
      <c r="A841">
        <v>5.5037449830637826</v>
      </c>
      <c r="B841">
        <v>0</v>
      </c>
      <c r="C841">
        <v>7</v>
      </c>
    </row>
    <row r="842" spans="1:3">
      <c r="A842">
        <v>3.0738322430284137</v>
      </c>
      <c r="B842">
        <v>12</v>
      </c>
      <c r="C842">
        <v>0</v>
      </c>
    </row>
    <row r="843" spans="1:3">
      <c r="A843">
        <v>6.1492817280941576</v>
      </c>
      <c r="B843">
        <v>0</v>
      </c>
      <c r="C843">
        <v>5</v>
      </c>
    </row>
    <row r="844" spans="1:3">
      <c r="A844">
        <v>6.05627951526046</v>
      </c>
      <c r="B844">
        <v>0</v>
      </c>
      <c r="C844">
        <v>7</v>
      </c>
    </row>
    <row r="845" spans="1:3">
      <c r="A845">
        <v>2.2727167815412503</v>
      </c>
      <c r="B845">
        <v>17</v>
      </c>
      <c r="C845">
        <v>0</v>
      </c>
    </row>
    <row r="846" spans="1:3">
      <c r="A846">
        <v>6.4624259843584344</v>
      </c>
      <c r="B846">
        <v>0</v>
      </c>
      <c r="C846">
        <v>4</v>
      </c>
    </row>
    <row r="847" spans="1:3">
      <c r="A847">
        <v>16.555124291721633</v>
      </c>
      <c r="B847">
        <v>0</v>
      </c>
      <c r="C847">
        <v>1</v>
      </c>
    </row>
    <row r="848" spans="1:3">
      <c r="A848">
        <v>5.6794367783201611</v>
      </c>
      <c r="B848">
        <v>6</v>
      </c>
      <c r="C848">
        <v>0</v>
      </c>
    </row>
    <row r="849" spans="1:3">
      <c r="A849">
        <v>6.2020098803687116</v>
      </c>
      <c r="B849">
        <v>0</v>
      </c>
      <c r="C849">
        <v>6</v>
      </c>
    </row>
    <row r="850" spans="1:3">
      <c r="A850">
        <v>7.6839380654675296</v>
      </c>
      <c r="B850">
        <v>5</v>
      </c>
      <c r="C850">
        <v>0</v>
      </c>
    </row>
    <row r="851" spans="1:3">
      <c r="A851">
        <v>5.1506609183326999</v>
      </c>
      <c r="B851">
        <v>0</v>
      </c>
      <c r="C851">
        <v>5</v>
      </c>
    </row>
    <row r="852" spans="1:3">
      <c r="A852">
        <v>6.3670655604576281</v>
      </c>
      <c r="B852">
        <v>0</v>
      </c>
      <c r="C852">
        <v>4</v>
      </c>
    </row>
    <row r="853" spans="1:3">
      <c r="A853">
        <v>8.7456596845673591</v>
      </c>
      <c r="B853">
        <v>0</v>
      </c>
      <c r="C853">
        <v>3</v>
      </c>
    </row>
    <row r="854" spans="1:3">
      <c r="A854">
        <v>4.5975876743017325</v>
      </c>
      <c r="B854">
        <v>0</v>
      </c>
      <c r="C854">
        <v>4</v>
      </c>
    </row>
    <row r="855" spans="1:3">
      <c r="A855">
        <v>4.9916093004104187</v>
      </c>
      <c r="B855">
        <v>0</v>
      </c>
      <c r="C855">
        <v>7</v>
      </c>
    </row>
    <row r="856" spans="1:3">
      <c r="A856">
        <v>5.7636128309823658</v>
      </c>
      <c r="B856">
        <v>0</v>
      </c>
      <c r="C856">
        <v>6</v>
      </c>
    </row>
    <row r="857" spans="1:3">
      <c r="A857">
        <v>8.6702500873198378</v>
      </c>
      <c r="B857">
        <v>0</v>
      </c>
      <c r="C857">
        <v>4</v>
      </c>
    </row>
    <row r="858" spans="1:3">
      <c r="A858">
        <v>3.9474340806329993</v>
      </c>
      <c r="B858">
        <v>0</v>
      </c>
      <c r="C858">
        <v>9</v>
      </c>
    </row>
    <row r="859" spans="1:3">
      <c r="A859">
        <v>2.9578856932691533</v>
      </c>
      <c r="B859">
        <v>11</v>
      </c>
      <c r="C859">
        <v>0</v>
      </c>
    </row>
    <row r="860" spans="1:3">
      <c r="A860">
        <v>5.1792393843462516</v>
      </c>
      <c r="B860">
        <v>0</v>
      </c>
      <c r="C860">
        <v>7</v>
      </c>
    </row>
    <row r="861" spans="1:3">
      <c r="A861">
        <v>8.4809457129634573</v>
      </c>
      <c r="B861">
        <v>0</v>
      </c>
      <c r="C861">
        <v>3</v>
      </c>
    </row>
    <row r="862" spans="1:3">
      <c r="A862">
        <v>8.6211261000623409</v>
      </c>
      <c r="B862">
        <v>0</v>
      </c>
      <c r="C862">
        <v>3</v>
      </c>
    </row>
    <row r="863" spans="1:3">
      <c r="A863">
        <v>8.7467759686391524</v>
      </c>
      <c r="B863">
        <v>12</v>
      </c>
      <c r="C863">
        <v>0</v>
      </c>
    </row>
    <row r="864" spans="1:3">
      <c r="A864">
        <v>6.138579644445576</v>
      </c>
      <c r="B864">
        <v>0</v>
      </c>
      <c r="C864">
        <v>7</v>
      </c>
    </row>
    <row r="865" spans="1:3">
      <c r="A865">
        <v>4.8920945908252511</v>
      </c>
      <c r="B865">
        <v>0</v>
      </c>
      <c r="C865">
        <v>6</v>
      </c>
    </row>
    <row r="866" spans="1:3">
      <c r="A866">
        <v>4.6760257209555354</v>
      </c>
      <c r="B866">
        <v>6</v>
      </c>
      <c r="C866">
        <v>0</v>
      </c>
    </row>
    <row r="867" spans="1:3">
      <c r="A867">
        <v>5.3775923886554136</v>
      </c>
      <c r="B867">
        <v>0</v>
      </c>
      <c r="C867">
        <v>7</v>
      </c>
    </row>
    <row r="868" spans="1:3">
      <c r="A868">
        <v>5.9584070005565923</v>
      </c>
      <c r="B868">
        <v>0</v>
      </c>
      <c r="C868">
        <v>6</v>
      </c>
    </row>
    <row r="869" spans="1:3">
      <c r="A869">
        <v>3.0063257787016839</v>
      </c>
      <c r="B869">
        <v>0</v>
      </c>
      <c r="C869">
        <v>7</v>
      </c>
    </row>
    <row r="870" spans="1:3">
      <c r="A870">
        <v>6.202949107331504</v>
      </c>
      <c r="B870">
        <v>0</v>
      </c>
      <c r="C870">
        <v>5</v>
      </c>
    </row>
    <row r="871" spans="1:3">
      <c r="A871">
        <v>7.255297947989181</v>
      </c>
      <c r="B871">
        <v>8</v>
      </c>
      <c r="C871">
        <v>0</v>
      </c>
    </row>
    <row r="872" spans="1:3">
      <c r="A872">
        <v>5.5551652608980371</v>
      </c>
      <c r="B872">
        <v>0</v>
      </c>
      <c r="C872">
        <v>5</v>
      </c>
    </row>
    <row r="873" spans="1:3">
      <c r="A873">
        <v>5.9200261556875189</v>
      </c>
      <c r="B873">
        <v>0</v>
      </c>
      <c r="C873">
        <v>6</v>
      </c>
    </row>
    <row r="874" spans="1:3">
      <c r="A874">
        <v>3.6121601617942818</v>
      </c>
      <c r="B874">
        <v>0</v>
      </c>
      <c r="C874">
        <v>6</v>
      </c>
    </row>
    <row r="875" spans="1:3">
      <c r="A875">
        <v>4.4592645392052335</v>
      </c>
      <c r="B875">
        <v>0</v>
      </c>
      <c r="C875">
        <v>6</v>
      </c>
    </row>
    <row r="876" spans="1:3">
      <c r="A876">
        <v>3.9444015959779466</v>
      </c>
      <c r="B876">
        <v>0</v>
      </c>
      <c r="C876">
        <v>8</v>
      </c>
    </row>
    <row r="877" spans="1:3">
      <c r="A877">
        <v>7.0288577824270444</v>
      </c>
      <c r="B877">
        <v>3</v>
      </c>
      <c r="C877">
        <v>0</v>
      </c>
    </row>
    <row r="878" spans="1:3">
      <c r="A878">
        <v>5.6102186593339365</v>
      </c>
      <c r="B878">
        <v>0</v>
      </c>
      <c r="C878">
        <v>6</v>
      </c>
    </row>
    <row r="879" spans="1:3">
      <c r="A879">
        <v>4.2601074480382977</v>
      </c>
      <c r="B879">
        <v>0</v>
      </c>
      <c r="C879">
        <v>9</v>
      </c>
    </row>
    <row r="880" spans="1:3">
      <c r="A880">
        <v>6.0465354438805967</v>
      </c>
      <c r="B880">
        <v>0</v>
      </c>
      <c r="C880">
        <v>6</v>
      </c>
    </row>
    <row r="881" spans="1:3">
      <c r="A881">
        <v>6.1930754553937373</v>
      </c>
      <c r="B881">
        <v>0</v>
      </c>
      <c r="C881">
        <v>7</v>
      </c>
    </row>
    <row r="882" spans="1:3">
      <c r="A882">
        <v>7.7358361921956602</v>
      </c>
      <c r="B882">
        <v>0</v>
      </c>
      <c r="C882">
        <v>6</v>
      </c>
    </row>
    <row r="883" spans="1:3">
      <c r="A883">
        <v>3.5340365836284926</v>
      </c>
      <c r="B883">
        <v>0</v>
      </c>
      <c r="C883">
        <v>7</v>
      </c>
    </row>
    <row r="884" spans="1:3">
      <c r="A884">
        <v>4.9153198170664067</v>
      </c>
      <c r="B884">
        <v>0</v>
      </c>
      <c r="C884">
        <v>9</v>
      </c>
    </row>
    <row r="885" spans="1:3">
      <c r="A885">
        <v>4.9796733902185828</v>
      </c>
      <c r="B885">
        <v>0</v>
      </c>
      <c r="C885">
        <v>3</v>
      </c>
    </row>
    <row r="886" spans="1:3">
      <c r="A886">
        <v>6.0010616123678933</v>
      </c>
      <c r="B886">
        <v>0</v>
      </c>
      <c r="C886">
        <v>7</v>
      </c>
    </row>
    <row r="887" spans="1:3">
      <c r="A887">
        <v>7.2994633805714892</v>
      </c>
      <c r="B887">
        <v>0</v>
      </c>
      <c r="C887">
        <v>4</v>
      </c>
    </row>
    <row r="888" spans="1:3">
      <c r="A888">
        <v>3.9256353856237634</v>
      </c>
      <c r="B888">
        <v>0</v>
      </c>
      <c r="C888">
        <v>7</v>
      </c>
    </row>
    <row r="889" spans="1:3">
      <c r="A889">
        <v>2.1996849325398857</v>
      </c>
      <c r="B889">
        <v>0</v>
      </c>
      <c r="C889">
        <v>9</v>
      </c>
    </row>
    <row r="890" spans="1:3">
      <c r="A890">
        <v>4.7741642750374238</v>
      </c>
      <c r="B890">
        <v>0</v>
      </c>
      <c r="C890">
        <v>8</v>
      </c>
    </row>
    <row r="891" spans="1:3">
      <c r="A891">
        <v>4.6185329503715824</v>
      </c>
      <c r="B891">
        <v>7</v>
      </c>
      <c r="C891">
        <v>0</v>
      </c>
    </row>
    <row r="892" spans="1:3">
      <c r="A892">
        <v>5.9039575973208365</v>
      </c>
      <c r="B892">
        <v>7</v>
      </c>
      <c r="C892">
        <v>0</v>
      </c>
    </row>
    <row r="893" spans="1:3">
      <c r="A893">
        <v>3.7715436961216056</v>
      </c>
      <c r="B893">
        <v>0</v>
      </c>
      <c r="C893">
        <v>8</v>
      </c>
    </row>
    <row r="894" spans="1:3">
      <c r="A894">
        <v>6.7014026886871756</v>
      </c>
      <c r="B894">
        <v>9</v>
      </c>
      <c r="C894">
        <v>0</v>
      </c>
    </row>
    <row r="895" spans="1:3">
      <c r="A895">
        <v>5.771328030137556</v>
      </c>
      <c r="B895">
        <v>13</v>
      </c>
      <c r="C895">
        <v>0</v>
      </c>
    </row>
    <row r="896" spans="1:3">
      <c r="A896">
        <v>6.4676942104986042</v>
      </c>
      <c r="B896">
        <v>10</v>
      </c>
      <c r="C896">
        <v>0</v>
      </c>
    </row>
    <row r="897" spans="1:3">
      <c r="A897">
        <v>6.7553411009557651</v>
      </c>
      <c r="B897">
        <v>0</v>
      </c>
      <c r="C897">
        <v>4</v>
      </c>
    </row>
    <row r="898" spans="1:3">
      <c r="A898">
        <v>3.9473611648579201</v>
      </c>
      <c r="B898">
        <v>10</v>
      </c>
      <c r="C898">
        <v>0</v>
      </c>
    </row>
    <row r="899" spans="1:3">
      <c r="A899">
        <v>5.074576624685081</v>
      </c>
      <c r="B899">
        <v>0</v>
      </c>
      <c r="C899">
        <v>8</v>
      </c>
    </row>
    <row r="900" spans="1:3">
      <c r="A900">
        <v>4.5794400011285346</v>
      </c>
      <c r="B900">
        <v>0</v>
      </c>
      <c r="C900">
        <v>8</v>
      </c>
    </row>
    <row r="901" spans="1:3">
      <c r="A901">
        <v>5.065033241280088</v>
      </c>
      <c r="B901">
        <v>0</v>
      </c>
      <c r="C901">
        <v>6</v>
      </c>
    </row>
    <row r="902" spans="1:3">
      <c r="A902">
        <v>3.4263430592343584</v>
      </c>
      <c r="B902">
        <v>0</v>
      </c>
      <c r="C902">
        <v>8</v>
      </c>
    </row>
    <row r="903" spans="1:3">
      <c r="A903">
        <v>4.4819748189363366</v>
      </c>
      <c r="B903">
        <v>0</v>
      </c>
      <c r="C903">
        <v>4</v>
      </c>
    </row>
    <row r="904" spans="1:3">
      <c r="A904">
        <v>2.9856697682041498</v>
      </c>
      <c r="B904">
        <v>0</v>
      </c>
      <c r="C904">
        <v>9</v>
      </c>
    </row>
    <row r="905" spans="1:3">
      <c r="A905">
        <v>7.3511959030592973</v>
      </c>
      <c r="B905">
        <v>0</v>
      </c>
      <c r="C905">
        <v>4</v>
      </c>
    </row>
    <row r="906" spans="1:3">
      <c r="A906">
        <v>2.7029063049510089</v>
      </c>
      <c r="B906">
        <v>0</v>
      </c>
      <c r="C906">
        <v>9</v>
      </c>
    </row>
    <row r="907" spans="1:3">
      <c r="A907">
        <v>6.1242393262490618</v>
      </c>
      <c r="B907">
        <v>0</v>
      </c>
      <c r="C907">
        <v>7</v>
      </c>
    </row>
    <row r="908" spans="1:3">
      <c r="A908">
        <v>3.1431066259042586</v>
      </c>
      <c r="B908">
        <v>0</v>
      </c>
      <c r="C908">
        <v>8</v>
      </c>
    </row>
    <row r="909" spans="1:3">
      <c r="A909">
        <v>11.76328337968444</v>
      </c>
      <c r="B909">
        <v>0</v>
      </c>
      <c r="C909">
        <v>1</v>
      </c>
    </row>
    <row r="910" spans="1:3">
      <c r="A910">
        <v>5.4696228374784894</v>
      </c>
      <c r="B910">
        <v>0</v>
      </c>
      <c r="C910">
        <v>4</v>
      </c>
    </row>
    <row r="911" spans="1:3">
      <c r="A911">
        <v>5.8881268770823603</v>
      </c>
      <c r="B911">
        <v>6</v>
      </c>
      <c r="C911">
        <v>0</v>
      </c>
    </row>
    <row r="912" spans="1:3">
      <c r="A912">
        <v>7.5112816624456933</v>
      </c>
      <c r="B912">
        <v>0</v>
      </c>
      <c r="C912">
        <v>5</v>
      </c>
    </row>
    <row r="913" spans="1:3">
      <c r="A913">
        <v>6.105891807059133</v>
      </c>
      <c r="B913">
        <v>0</v>
      </c>
      <c r="C913">
        <v>5</v>
      </c>
    </row>
    <row r="914" spans="1:3">
      <c r="A914">
        <v>5.9090020465360524</v>
      </c>
      <c r="B914">
        <v>0</v>
      </c>
      <c r="C914">
        <v>5</v>
      </c>
    </row>
    <row r="915" spans="1:3">
      <c r="A915">
        <v>10.243844456319827</v>
      </c>
      <c r="B915">
        <v>0</v>
      </c>
      <c r="C915">
        <v>2</v>
      </c>
    </row>
    <row r="916" spans="1:3">
      <c r="A916">
        <v>4.5518317960236114</v>
      </c>
      <c r="B916">
        <v>0</v>
      </c>
      <c r="C916">
        <v>6</v>
      </c>
    </row>
    <row r="917" spans="1:3">
      <c r="A917">
        <v>5.502117499823437</v>
      </c>
      <c r="B917">
        <v>8</v>
      </c>
      <c r="C917">
        <v>0</v>
      </c>
    </row>
    <row r="918" spans="1:3">
      <c r="A918">
        <v>3.060321198772098</v>
      </c>
      <c r="B918">
        <v>0</v>
      </c>
      <c r="C918">
        <v>7</v>
      </c>
    </row>
    <row r="919" spans="1:3">
      <c r="A919">
        <v>13.213659688787214</v>
      </c>
      <c r="B919">
        <v>0</v>
      </c>
      <c r="C919">
        <v>3</v>
      </c>
    </row>
    <row r="920" spans="1:3">
      <c r="A920">
        <v>13.760525858818317</v>
      </c>
      <c r="B920">
        <v>0</v>
      </c>
      <c r="C920">
        <v>1</v>
      </c>
    </row>
    <row r="921" spans="1:3">
      <c r="A921">
        <v>3.6896357661399142</v>
      </c>
      <c r="B921">
        <v>0</v>
      </c>
      <c r="C921">
        <v>7</v>
      </c>
    </row>
    <row r="922" spans="1:3">
      <c r="A922">
        <v>3.9283533978578662</v>
      </c>
      <c r="B922">
        <v>12</v>
      </c>
      <c r="C922">
        <v>0</v>
      </c>
    </row>
    <row r="923" spans="1:3">
      <c r="A923">
        <v>8.623272812287615</v>
      </c>
      <c r="B923">
        <v>11</v>
      </c>
      <c r="C923">
        <v>0</v>
      </c>
    </row>
    <row r="924" spans="1:3">
      <c r="A924">
        <v>4.9159511337331949</v>
      </c>
      <c r="B924">
        <v>8</v>
      </c>
      <c r="C924">
        <v>0</v>
      </c>
    </row>
    <row r="925" spans="1:3">
      <c r="A925">
        <v>7.9884201530777217</v>
      </c>
      <c r="B925">
        <v>0</v>
      </c>
      <c r="C925">
        <v>3</v>
      </c>
    </row>
    <row r="926" spans="1:3">
      <c r="A926">
        <v>4.2104743006516836</v>
      </c>
      <c r="B926">
        <v>0</v>
      </c>
      <c r="C926">
        <v>7</v>
      </c>
    </row>
    <row r="927" spans="1:3">
      <c r="A927">
        <v>4.8336587754329559</v>
      </c>
      <c r="B927">
        <v>0</v>
      </c>
      <c r="C927">
        <v>8</v>
      </c>
    </row>
    <row r="928" spans="1:3">
      <c r="A928">
        <v>12.319853888672894</v>
      </c>
      <c r="B928">
        <v>4</v>
      </c>
      <c r="C928">
        <v>0</v>
      </c>
    </row>
    <row r="929" spans="1:3">
      <c r="A929">
        <v>5.5904745620871594</v>
      </c>
      <c r="B929">
        <v>0</v>
      </c>
      <c r="C929">
        <v>9</v>
      </c>
    </row>
    <row r="930" spans="1:3">
      <c r="A930">
        <v>9.5974523667329059</v>
      </c>
      <c r="B930">
        <v>0</v>
      </c>
      <c r="C930">
        <v>3</v>
      </c>
    </row>
    <row r="931" spans="1:3">
      <c r="A931">
        <v>7.0520483338806015</v>
      </c>
      <c r="B931">
        <v>5</v>
      </c>
      <c r="C931">
        <v>0</v>
      </c>
    </row>
    <row r="932" spans="1:3">
      <c r="A932">
        <v>3.6682933238313593</v>
      </c>
      <c r="B932">
        <v>0</v>
      </c>
      <c r="C932">
        <v>8</v>
      </c>
    </row>
    <row r="933" spans="1:3">
      <c r="A933">
        <v>5.1923996075227272</v>
      </c>
      <c r="B933">
        <v>6</v>
      </c>
      <c r="C933">
        <v>0</v>
      </c>
    </row>
    <row r="934" spans="1:3">
      <c r="A934">
        <v>4.2665437714533461</v>
      </c>
      <c r="B934">
        <v>0</v>
      </c>
      <c r="C934">
        <v>7</v>
      </c>
    </row>
    <row r="935" spans="1:3">
      <c r="A935">
        <v>5.4710474729526242</v>
      </c>
      <c r="B935">
        <v>0</v>
      </c>
      <c r="C935">
        <v>4</v>
      </c>
    </row>
    <row r="936" spans="1:3">
      <c r="A936">
        <v>5.5893028142704475</v>
      </c>
      <c r="B936">
        <v>0</v>
      </c>
      <c r="C936">
        <v>4</v>
      </c>
    </row>
    <row r="937" spans="1:3">
      <c r="A937">
        <v>3.3848033289935051</v>
      </c>
      <c r="B937">
        <v>14</v>
      </c>
      <c r="C937">
        <v>0</v>
      </c>
    </row>
    <row r="938" spans="1:3">
      <c r="A938">
        <v>3.0963726131644038</v>
      </c>
      <c r="B938">
        <v>0</v>
      </c>
      <c r="C938">
        <v>8</v>
      </c>
    </row>
    <row r="939" spans="1:3">
      <c r="A939">
        <v>7.2598179354537145</v>
      </c>
      <c r="B939">
        <v>0</v>
      </c>
      <c r="C939">
        <v>4</v>
      </c>
    </row>
    <row r="940" spans="1:3">
      <c r="A940">
        <v>7.9109723971056409</v>
      </c>
      <c r="B940">
        <v>7</v>
      </c>
      <c r="C940">
        <v>0</v>
      </c>
    </row>
    <row r="941" spans="1:3">
      <c r="A941">
        <v>5.0721049181032445</v>
      </c>
      <c r="B941">
        <v>0</v>
      </c>
      <c r="C941">
        <v>4</v>
      </c>
    </row>
    <row r="942" spans="1:3">
      <c r="A942">
        <v>6.077479761169883</v>
      </c>
      <c r="B942">
        <v>9</v>
      </c>
      <c r="C942">
        <v>0</v>
      </c>
    </row>
    <row r="943" spans="1:3">
      <c r="A943">
        <v>6.0408168986159865</v>
      </c>
      <c r="B943">
        <v>0</v>
      </c>
      <c r="C943">
        <v>5</v>
      </c>
    </row>
    <row r="944" spans="1:3">
      <c r="A944">
        <v>3.5470159394715419</v>
      </c>
      <c r="B944">
        <v>0</v>
      </c>
      <c r="C944">
        <v>8</v>
      </c>
    </row>
    <row r="945" spans="1:3">
      <c r="A945">
        <v>11.889075294120099</v>
      </c>
      <c r="B945">
        <v>0</v>
      </c>
      <c r="C945">
        <v>1</v>
      </c>
    </row>
    <row r="946" spans="1:3">
      <c r="A946">
        <v>10.600717843349468</v>
      </c>
      <c r="B946">
        <v>0</v>
      </c>
      <c r="C946">
        <v>4</v>
      </c>
    </row>
    <row r="947" spans="1:3">
      <c r="A947">
        <v>5.4607395790417907</v>
      </c>
      <c r="B947">
        <v>0</v>
      </c>
      <c r="C947">
        <v>6</v>
      </c>
    </row>
    <row r="948" spans="1:3">
      <c r="A948">
        <v>4.2171686415948804</v>
      </c>
      <c r="B948">
        <v>14</v>
      </c>
      <c r="C948">
        <v>0</v>
      </c>
    </row>
    <row r="949" spans="1:3">
      <c r="A949">
        <v>4.0712416118905557</v>
      </c>
      <c r="B949">
        <v>0</v>
      </c>
      <c r="C949">
        <v>9</v>
      </c>
    </row>
    <row r="950" spans="1:3">
      <c r="A950">
        <v>5.1043611158343465</v>
      </c>
      <c r="B950">
        <v>0</v>
      </c>
      <c r="C950">
        <v>6</v>
      </c>
    </row>
    <row r="951" spans="1:3">
      <c r="A951">
        <v>5.4765761015146399</v>
      </c>
      <c r="B951">
        <v>0</v>
      </c>
      <c r="C951">
        <v>6</v>
      </c>
    </row>
    <row r="952" spans="1:3">
      <c r="A952">
        <v>2.9354794731726277</v>
      </c>
      <c r="B952">
        <v>0</v>
      </c>
      <c r="C952">
        <v>9</v>
      </c>
    </row>
    <row r="953" spans="1:3">
      <c r="A953">
        <v>10.406250205727748</v>
      </c>
      <c r="B953">
        <v>6</v>
      </c>
      <c r="C953">
        <v>0</v>
      </c>
    </row>
    <row r="954" spans="1:3">
      <c r="A954">
        <v>3.3654683314067548</v>
      </c>
      <c r="B954">
        <v>0</v>
      </c>
      <c r="C954">
        <v>10</v>
      </c>
    </row>
    <row r="955" spans="1:3">
      <c r="A955">
        <v>4.470080290436151</v>
      </c>
      <c r="B955">
        <v>0</v>
      </c>
      <c r="C955">
        <v>9</v>
      </c>
    </row>
    <row r="956" spans="1:3">
      <c r="A956">
        <v>4.7583874393437728</v>
      </c>
      <c r="B956">
        <v>11</v>
      </c>
      <c r="C956">
        <v>0</v>
      </c>
    </row>
    <row r="957" spans="1:3">
      <c r="A957">
        <v>3.5846238817535463</v>
      </c>
      <c r="B957">
        <v>0</v>
      </c>
      <c r="C957">
        <v>8</v>
      </c>
    </row>
    <row r="958" spans="1:3">
      <c r="A958">
        <v>3.6853036657023042</v>
      </c>
      <c r="B958">
        <v>0</v>
      </c>
      <c r="C958">
        <v>8</v>
      </c>
    </row>
    <row r="959" spans="1:3">
      <c r="A959">
        <v>8.8662448989698621</v>
      </c>
      <c r="B959">
        <v>0</v>
      </c>
      <c r="C959">
        <v>1</v>
      </c>
    </row>
    <row r="960" spans="1:3">
      <c r="A960">
        <v>4.6241239229751647</v>
      </c>
      <c r="B960">
        <v>0</v>
      </c>
      <c r="C960">
        <v>7</v>
      </c>
    </row>
    <row r="961" spans="1:3">
      <c r="A961">
        <v>6.6905569686965523</v>
      </c>
      <c r="B961">
        <v>0</v>
      </c>
      <c r="C961">
        <v>5</v>
      </c>
    </row>
    <row r="962" spans="1:3">
      <c r="A962">
        <v>5.8120637282100915</v>
      </c>
      <c r="B962">
        <v>0</v>
      </c>
      <c r="C962">
        <v>5</v>
      </c>
    </row>
    <row r="963" spans="1:3">
      <c r="A963">
        <v>3.3205334422626955</v>
      </c>
      <c r="B963">
        <v>0</v>
      </c>
      <c r="C963">
        <v>8</v>
      </c>
    </row>
    <row r="964" spans="1:3">
      <c r="A964">
        <v>7.3171606222191681</v>
      </c>
      <c r="B964">
        <v>0</v>
      </c>
      <c r="C964">
        <v>5</v>
      </c>
    </row>
    <row r="965" spans="1:3">
      <c r="A965">
        <v>6.730931571515633</v>
      </c>
      <c r="B965">
        <v>0</v>
      </c>
      <c r="C965">
        <v>3</v>
      </c>
    </row>
    <row r="966" spans="1:3">
      <c r="A966">
        <v>3.9940546852092758</v>
      </c>
      <c r="B966">
        <v>0</v>
      </c>
      <c r="C966">
        <v>8</v>
      </c>
    </row>
    <row r="967" spans="1:3">
      <c r="A967">
        <v>3.5354551514183337</v>
      </c>
      <c r="B967">
        <v>0</v>
      </c>
      <c r="C967">
        <v>8</v>
      </c>
    </row>
    <row r="968" spans="1:3">
      <c r="A968">
        <v>3.890174804404027</v>
      </c>
      <c r="B968">
        <v>0</v>
      </c>
      <c r="C968">
        <v>7</v>
      </c>
    </row>
    <row r="969" spans="1:3">
      <c r="A969">
        <v>5.3404229315407816</v>
      </c>
      <c r="B969">
        <v>8</v>
      </c>
      <c r="C969">
        <v>0</v>
      </c>
    </row>
    <row r="970" spans="1:3">
      <c r="A970">
        <v>4.5235653220693255</v>
      </c>
      <c r="B970">
        <v>0</v>
      </c>
      <c r="C970">
        <v>8</v>
      </c>
    </row>
    <row r="971" spans="1:3">
      <c r="A971">
        <v>2.1062614450787271</v>
      </c>
      <c r="B971">
        <v>18</v>
      </c>
      <c r="C971">
        <v>0</v>
      </c>
    </row>
    <row r="972" spans="1:3">
      <c r="A972">
        <v>2.5090366255603564</v>
      </c>
      <c r="B972">
        <v>0</v>
      </c>
      <c r="C972">
        <v>9</v>
      </c>
    </row>
    <row r="973" spans="1:3">
      <c r="A973">
        <v>2.9260048239924092</v>
      </c>
      <c r="B973">
        <v>16</v>
      </c>
      <c r="C973">
        <v>0</v>
      </c>
    </row>
    <row r="974" spans="1:3">
      <c r="A974">
        <v>5.33247235479163</v>
      </c>
      <c r="B974">
        <v>0</v>
      </c>
      <c r="C974">
        <v>6</v>
      </c>
    </row>
    <row r="975" spans="1:3">
      <c r="A975">
        <v>7.4149235749383093</v>
      </c>
      <c r="B975">
        <v>0</v>
      </c>
      <c r="C975">
        <v>5</v>
      </c>
    </row>
    <row r="976" spans="1:3">
      <c r="A976">
        <v>7.7698051946738174</v>
      </c>
      <c r="B976">
        <v>12</v>
      </c>
      <c r="C976">
        <v>0</v>
      </c>
    </row>
    <row r="977" spans="1:3">
      <c r="A977">
        <v>3.3626833582936952</v>
      </c>
      <c r="B977">
        <v>13</v>
      </c>
      <c r="C977">
        <v>0</v>
      </c>
    </row>
    <row r="978" spans="1:3">
      <c r="A978">
        <v>6.062889614183697</v>
      </c>
      <c r="B978">
        <v>0</v>
      </c>
      <c r="C978">
        <v>6</v>
      </c>
    </row>
    <row r="979" spans="1:3">
      <c r="A979">
        <v>3.1198002513605649</v>
      </c>
      <c r="B979">
        <v>13</v>
      </c>
      <c r="C979">
        <v>0</v>
      </c>
    </row>
    <row r="980" spans="1:3">
      <c r="A980">
        <v>11.546987933529927</v>
      </c>
      <c r="B980">
        <v>1</v>
      </c>
      <c r="C980">
        <v>0</v>
      </c>
    </row>
    <row r="981" spans="1:3">
      <c r="A981">
        <v>7.6291179312012671</v>
      </c>
      <c r="B981">
        <v>0</v>
      </c>
      <c r="C981">
        <v>3</v>
      </c>
    </row>
    <row r="982" spans="1:3">
      <c r="A982">
        <v>7.405564758307575</v>
      </c>
      <c r="B982">
        <v>9</v>
      </c>
      <c r="C982">
        <v>0</v>
      </c>
    </row>
    <row r="983" spans="1:3">
      <c r="A983">
        <v>8.4856391205686315</v>
      </c>
      <c r="B983">
        <v>0</v>
      </c>
      <c r="C983">
        <v>2</v>
      </c>
    </row>
    <row r="984" spans="1:3">
      <c r="A984">
        <v>3.6262013874135453</v>
      </c>
      <c r="B984">
        <v>0</v>
      </c>
      <c r="C984">
        <v>7</v>
      </c>
    </row>
    <row r="985" spans="1:3">
      <c r="A985">
        <v>5.4114690520732669</v>
      </c>
      <c r="B985">
        <v>15</v>
      </c>
      <c r="C985">
        <v>0</v>
      </c>
    </row>
    <row r="986" spans="1:3">
      <c r="A986">
        <v>4.9845240003825593</v>
      </c>
      <c r="B986">
        <v>0</v>
      </c>
      <c r="C986">
        <v>5</v>
      </c>
    </row>
    <row r="987" spans="1:3">
      <c r="A987">
        <v>7.5357707377432597</v>
      </c>
      <c r="B987">
        <v>0</v>
      </c>
      <c r="C987">
        <v>4</v>
      </c>
    </row>
    <row r="988" spans="1:3">
      <c r="A988">
        <v>5.3414065519617733</v>
      </c>
      <c r="B988">
        <v>0</v>
      </c>
      <c r="C988">
        <v>6</v>
      </c>
    </row>
    <row r="989" spans="1:3">
      <c r="A989">
        <v>8.0665290484091461</v>
      </c>
      <c r="B989">
        <v>0</v>
      </c>
      <c r="C989">
        <v>2</v>
      </c>
    </row>
    <row r="990" spans="1:3">
      <c r="A990">
        <v>4.6607711333792947</v>
      </c>
      <c r="B990">
        <v>8</v>
      </c>
      <c r="C990">
        <v>0</v>
      </c>
    </row>
    <row r="991" spans="1:3">
      <c r="A991">
        <v>9.8470777761849035</v>
      </c>
      <c r="B991">
        <v>0</v>
      </c>
      <c r="C991">
        <v>2</v>
      </c>
    </row>
    <row r="992" spans="1:3">
      <c r="A992">
        <v>2.8013025330013721</v>
      </c>
      <c r="B992">
        <v>0</v>
      </c>
      <c r="C992">
        <v>10</v>
      </c>
    </row>
    <row r="993" spans="1:3">
      <c r="A993">
        <v>6.8023213113342074</v>
      </c>
      <c r="B993">
        <v>0</v>
      </c>
      <c r="C993">
        <v>6</v>
      </c>
    </row>
    <row r="994" spans="1:3">
      <c r="A994">
        <v>10.089665088908983</v>
      </c>
      <c r="B994">
        <v>5</v>
      </c>
      <c r="C994">
        <v>0</v>
      </c>
    </row>
    <row r="995" spans="1:3">
      <c r="A995">
        <v>3.2120770699750198</v>
      </c>
      <c r="B995">
        <v>0</v>
      </c>
      <c r="C995">
        <v>8</v>
      </c>
    </row>
    <row r="996" spans="1:3">
      <c r="A996">
        <v>4.0552293117364568</v>
      </c>
      <c r="B996">
        <v>0</v>
      </c>
      <c r="C996">
        <v>8</v>
      </c>
    </row>
    <row r="997" spans="1:3">
      <c r="A997">
        <v>3.7700756976824388</v>
      </c>
      <c r="B997">
        <v>0</v>
      </c>
      <c r="C997">
        <v>5</v>
      </c>
    </row>
    <row r="998" spans="1:3">
      <c r="A998">
        <v>9.6206753047782687</v>
      </c>
      <c r="B998">
        <v>6</v>
      </c>
      <c r="C998">
        <v>0</v>
      </c>
    </row>
    <row r="999" spans="1:3">
      <c r="A999">
        <v>4.0195939254653892</v>
      </c>
      <c r="B999">
        <v>0</v>
      </c>
      <c r="C999">
        <v>7</v>
      </c>
    </row>
    <row r="1000" spans="1:3">
      <c r="A1000">
        <v>4.9147016448712764</v>
      </c>
      <c r="B1000">
        <v>0</v>
      </c>
      <c r="C1000">
        <v>9</v>
      </c>
    </row>
  </sheetData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Stochastic</vt:lpstr>
      <vt:lpstr>Deterministic (Exact)</vt:lpstr>
      <vt:lpstr>Deterministic (Time Step)</vt:lpstr>
      <vt:lpstr>Data Collection</vt:lpstr>
    </vt:vector>
  </TitlesOfParts>
  <Company>Naval Postgraduate School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B. Widdis</dc:creator>
  <cp:lastModifiedBy>mstevens</cp:lastModifiedBy>
  <dcterms:created xsi:type="dcterms:W3CDTF">2006-01-11T21:18:46Z</dcterms:created>
  <dcterms:modified xsi:type="dcterms:W3CDTF">2010-01-21T23:08:40Z</dcterms:modified>
</cp:coreProperties>
</file>